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 Hatchett\Documents\IS 520\"/>
    </mc:Choice>
  </mc:AlternateContent>
  <xr:revisionPtr revIDLastSave="0" documentId="13_ncr:1_{80E3355E-DE0B-4138-B60A-33B476F11020}" xr6:coauthVersionLast="44" xr6:coauthVersionMax="44" xr10:uidLastSave="{00000000-0000-0000-0000-000000000000}"/>
  <bookViews>
    <workbookView xWindow="-98" yWindow="-98" windowWidth="21795" windowHeight="11746" xr2:uid="{63006602-59F6-4023-A6BC-E0808A672DE1}"/>
  </bookViews>
  <sheets>
    <sheet name="Boggle" sheetId="2" r:id="rId1"/>
    <sheet name="MyEducator_Message" sheetId="4" state="very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" i="4" l="1"/>
  <c r="K1" i="4"/>
  <c r="L1" i="4"/>
  <c r="M1" i="4"/>
  <c r="N1" i="4"/>
  <c r="O1" i="4"/>
  <c r="P1" i="4"/>
  <c r="Q1" i="4"/>
  <c r="R1" i="4"/>
  <c r="S1" i="4"/>
  <c r="AG1" i="4"/>
  <c r="AH1" i="4"/>
  <c r="AI1" i="4"/>
  <c r="AR1" i="4"/>
  <c r="AQ1" i="4"/>
  <c r="AP1" i="4"/>
  <c r="AO1" i="4"/>
  <c r="AN1" i="4"/>
  <c r="AM1" i="4"/>
  <c r="AK1" i="4"/>
  <c r="AJ1" i="4"/>
  <c r="AL1" i="4"/>
</calcChain>
</file>

<file path=xl/sharedStrings.xml><?xml version="1.0" encoding="utf-8"?>
<sst xmlns="http://schemas.openxmlformats.org/spreadsheetml/2006/main" count="2632" uniqueCount="33">
  <si>
    <t>A</t>
  </si>
  <si>
    <t>C</t>
  </si>
  <si>
    <t>N</t>
  </si>
  <si>
    <t>O</t>
  </si>
  <si>
    <t>S</t>
  </si>
  <si>
    <t>H</t>
  </si>
  <si>
    <t>T</t>
  </si>
  <si>
    <t>R</t>
  </si>
  <si>
    <t>Y</t>
  </si>
  <si>
    <t>E</t>
  </si>
  <si>
    <t>P</t>
  </si>
  <si>
    <t>M</t>
  </si>
  <si>
    <t>W</t>
  </si>
  <si>
    <t>Dismiss</t>
  </si>
  <si>
    <t>D</t>
  </si>
  <si>
    <t>G</t>
  </si>
  <si>
    <t>J</t>
  </si>
  <si>
    <t>I</t>
  </si>
  <si>
    <t>U</t>
  </si>
  <si>
    <t>Z</t>
  </si>
  <si>
    <t>F</t>
  </si>
  <si>
    <t>X</t>
  </si>
  <si>
    <t>L</t>
  </si>
  <si>
    <t>Q</t>
  </si>
  <si>
    <t>B</t>
  </si>
  <si>
    <t>V</t>
  </si>
  <si>
    <t>K</t>
  </si>
  <si>
    <t>alpha</t>
  </si>
  <si>
    <t>MyEducator_Message</t>
  </si>
  <si>
    <t>Grading VBA.  This sheet may remain open unexpectedly if there is an error in your VBA code.</t>
  </si>
  <si>
    <t/>
  </si>
  <si>
    <t>Division by zero</t>
  </si>
  <si>
    <t>pNwCMeTz5LVD8ImCb7qd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</si>
</sst>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497B0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A"/>
        <bgColor indexed="64"/>
      </patternFill>
    </fill>
  </fills>
  <borders count="19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ck">
        <color rgb="FFFFFFFF"/>
      </left>
      <right style="thin">
        <color rgb="FFFFFFFF"/>
      </right>
      <top style="thin">
        <color rgb="FFFFFFFF"/>
      </top>
      <bottom style="thick">
        <color rgb="FFFFFFFF"/>
      </bottom>
      <diagonal/>
    </border>
    <border>
      <left style="thin">
        <color rgb="FFFFFFFF"/>
      </left>
      <right style="thick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ck">
        <color rgb="FFFFFFFF"/>
      </left>
      <right style="thin">
        <color rgb="FFFFFFFF"/>
      </right>
      <top style="thick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ck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FFFFFF"/>
      </right>
      <top style="thick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FFFF"/>
      </left>
      <right style="medium">
        <color rgb="FF4D4D4D"/>
      </right>
      <top style="medium">
        <color rgb="FFFFFFFF"/>
      </top>
      <bottom style="medium">
        <color rgb="FF4D4D4D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4" borderId="0" xfId="0" applyFill="1"/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0" fillId="5" borderId="13" xfId="0" applyFill="1" applyBorder="1"/>
    <xf numFmtId="0" fontId="2" fillId="5" borderId="0" xfId="0" applyFont="1" applyFill="1" applyAlignment="1">
      <alignment horizontal="left" vertical="center" wrapText="1"/>
    </xf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3" fillId="6" borderId="18" xfId="0" applyFont="1" applyFill="1" applyBorder="1" applyAlignment="1">
      <alignment horizontal="center" vertical="center"/>
    </xf>
    <xf numFmtId="0" fontId="0" fillId="4" borderId="0" xfId="0" quotePrefix="1" applyFill="1"/>
    <xf numFmtId="22" fontId="0" fillId="4" borderId="0" xfId="0" applyNumberForma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195263</xdr:colOff>
          <xdr:row>12</xdr:row>
          <xdr:rowOff>71438</xdr:rowOff>
        </xdr:from>
        <xdr:to>
          <xdr:col>8</xdr:col>
          <xdr:colOff>552450</xdr:colOff>
          <xdr:row>14</xdr:row>
          <xdr:rowOff>157163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B8696C0-A2C8-42A5-B361-6211BA260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Big Boggle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38099</xdr:colOff>
      <xdr:row>0</xdr:row>
      <xdr:rowOff>9525</xdr:rowOff>
    </xdr:from>
    <xdr:to>
      <xdr:col>6</xdr:col>
      <xdr:colOff>132040</xdr:colOff>
      <xdr:row>1</xdr:row>
      <xdr:rowOff>0</xdr:rowOff>
    </xdr:to>
    <xdr:pic>
      <xdr:nvPicPr>
        <xdr:cNvPr id="2" name="Picture 1" descr="Image result for myeducator logo">
          <a:extLst>
            <a:ext uri="{FF2B5EF4-FFF2-40B4-BE49-F238E27FC236}">
              <a16:creationId xmlns:a16="http://schemas.microsoft.com/office/drawing/2014/main" id="{482943A5-C3E8-40D3-9958-58942D528B9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899" y="9525"/>
          <a:ext cx="5327929" cy="11382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03DEFD-DCB8-4AA2-B10B-10B14C3939DA}">
  <we:reference id="wa200000046" version="1.3.0.0" store="en-US" storeType="OMEX"/>
  <we:alternateReferences>
    <we:reference id="wa200000046" version="1.3.0.0" store="WA200000046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B3338-8FBF-41DE-BB85-1BDE4F87039B}">
  <sheetPr codeName="Sheet1"/>
  <dimension ref="B2:J10"/>
  <sheetViews>
    <sheetView tabSelected="1" workbookViewId="0">
      <selection activeCell="N14" sqref="N14"/>
    </sheetView>
  </sheetViews>
  <sheetFormatPr defaultRowHeight="14.25" x14ac:dyDescent="0.45"/>
  <cols>
    <col min="1" max="2" width="3.53125" customWidth="1"/>
    <col min="3" max="7" width="5.33203125" customWidth="1"/>
    <col min="8" max="8" width="3.53125" customWidth="1"/>
  </cols>
  <sheetData>
    <row r="2" spans="2:10" ht="14.65" thickBot="1" x14ac:dyDescent="0.5">
      <c r="B2" s="2"/>
      <c r="C2" s="2"/>
      <c r="D2" s="2"/>
      <c r="E2" s="2"/>
      <c r="F2" s="2"/>
      <c r="G2" s="2"/>
      <c r="H2" s="2"/>
    </row>
    <row r="3" spans="2:10" ht="28.9" thickTop="1" x14ac:dyDescent="0.45">
      <c r="B3" s="2"/>
      <c r="C3" s="9" t="s">
        <v>0</v>
      </c>
      <c r="D3" s="10" t="s">
        <v>2</v>
      </c>
      <c r="E3" s="10" t="s">
        <v>9</v>
      </c>
      <c r="F3" s="10" t="s">
        <v>7</v>
      </c>
      <c r="G3" s="11" t="s">
        <v>15</v>
      </c>
      <c r="H3" s="2"/>
      <c r="J3" s="1"/>
    </row>
    <row r="4" spans="2:10" ht="28.5" x14ac:dyDescent="0.45">
      <c r="B4" s="2"/>
      <c r="C4" s="5" t="s">
        <v>9</v>
      </c>
      <c r="D4" s="3" t="s">
        <v>15</v>
      </c>
      <c r="E4" s="3" t="s">
        <v>7</v>
      </c>
      <c r="F4" s="3" t="s">
        <v>19</v>
      </c>
      <c r="G4" s="7" t="s">
        <v>6</v>
      </c>
      <c r="H4" s="2"/>
    </row>
    <row r="5" spans="2:10" ht="28.5" x14ac:dyDescent="0.45">
      <c r="B5" s="2"/>
      <c r="C5" s="5" t="s">
        <v>10</v>
      </c>
      <c r="D5" s="3" t="s">
        <v>1</v>
      </c>
      <c r="E5" s="3" t="s">
        <v>4</v>
      </c>
      <c r="F5" s="3" t="s">
        <v>5</v>
      </c>
      <c r="G5" s="7" t="s">
        <v>14</v>
      </c>
      <c r="H5" s="2"/>
    </row>
    <row r="6" spans="2:10" ht="28.5" x14ac:dyDescent="0.45">
      <c r="B6" s="2"/>
      <c r="C6" s="5" t="s">
        <v>3</v>
      </c>
      <c r="D6" s="3" t="s">
        <v>22</v>
      </c>
      <c r="E6" s="3" t="s">
        <v>18</v>
      </c>
      <c r="F6" s="3" t="s">
        <v>6</v>
      </c>
      <c r="G6" s="7" t="s">
        <v>17</v>
      </c>
      <c r="H6" s="2"/>
    </row>
    <row r="7" spans="2:10" ht="28.9" thickBot="1" x14ac:dyDescent="0.5">
      <c r="B7" s="2"/>
      <c r="C7" s="6" t="s">
        <v>8</v>
      </c>
      <c r="D7" s="4" t="s">
        <v>25</v>
      </c>
      <c r="E7" s="4" t="s">
        <v>7</v>
      </c>
      <c r="F7" s="4" t="s">
        <v>12</v>
      </c>
      <c r="G7" s="8" t="s">
        <v>6</v>
      </c>
      <c r="H7" s="2"/>
    </row>
    <row r="8" spans="2:10" ht="14.65" thickTop="1" x14ac:dyDescent="0.45">
      <c r="B8" s="2"/>
      <c r="C8" s="2"/>
      <c r="D8" s="2"/>
      <c r="E8" s="2"/>
      <c r="F8" s="2"/>
      <c r="G8" s="2"/>
      <c r="H8" s="2"/>
    </row>
    <row r="9" spans="2:10" x14ac:dyDescent="0.45">
      <c r="B9" s="2"/>
      <c r="C9" s="2"/>
      <c r="D9" s="2"/>
      <c r="E9" s="2"/>
      <c r="F9" s="2"/>
      <c r="G9" s="2"/>
      <c r="H9" s="2"/>
    </row>
    <row r="10" spans="2:10" x14ac:dyDescent="0.45">
      <c r="B10" s="2"/>
      <c r="C10" s="2"/>
      <c r="D10" s="2"/>
      <c r="E10" s="2"/>
      <c r="F10" s="2"/>
      <c r="G10" s="2"/>
      <c r="H10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Boggle">
                <anchor moveWithCells="1" sizeWithCells="1">
                  <from>
                    <xdr:col>3</xdr:col>
                    <xdr:colOff>195263</xdr:colOff>
                    <xdr:row>12</xdr:row>
                    <xdr:rowOff>71438</xdr:rowOff>
                  </from>
                  <to>
                    <xdr:col>8</xdr:col>
                    <xdr:colOff>552450</xdr:colOff>
                    <xdr:row>14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245CF-7C3E-409E-9AF5-84F80FDE07F8}">
  <sheetPr codeName="MyEducator_message"/>
  <dimension ref="A1:AR106"/>
  <sheetViews>
    <sheetView workbookViewId="0">
      <selection activeCell="E1" sqref="E1"/>
    </sheetView>
  </sheetViews>
  <sheetFormatPr defaultColWidth="9" defaultRowHeight="14.25" x14ac:dyDescent="0.45"/>
  <cols>
    <col min="1" max="1" width="4.265625" style="12" customWidth="1"/>
    <col min="2" max="2" width="2" style="12" customWidth="1"/>
    <col min="3" max="3" width="34.86328125" style="12" customWidth="1"/>
    <col min="4" max="4" width="16.3984375" style="12" customWidth="1"/>
    <col min="5" max="5" width="3" style="12" customWidth="1"/>
    <col min="6" max="6" width="17" style="12" customWidth="1"/>
    <col min="7" max="7" width="2.265625" style="12" customWidth="1"/>
    <col min="8" max="16384" width="9" style="12"/>
  </cols>
  <sheetData>
    <row r="1" spans="1:44" ht="90.4" customHeight="1" thickBot="1" x14ac:dyDescent="0.5">
      <c r="J1" s="12" t="b">
        <f>AJ1&gt;21</f>
        <v>0</v>
      </c>
      <c r="K1" s="12" t="b">
        <f>AND(AG1=0,NOT(AG1=""))</f>
        <v>1</v>
      </c>
      <c r="L1" s="12" t="b">
        <f>AI1=100</f>
        <v>1</v>
      </c>
      <c r="M1" s="12" t="b">
        <f>AK1=6</f>
        <v>1</v>
      </c>
      <c r="N1" s="12" t="b">
        <f>AM1&gt;0</f>
        <v>1</v>
      </c>
      <c r="O1" s="12" t="b">
        <f>AN1&gt;0</f>
        <v>1</v>
      </c>
      <c r="P1" s="12" t="b">
        <f>AO1&gt;0</f>
        <v>1</v>
      </c>
      <c r="Q1" s="12" t="b">
        <f>AP1&gt;0</f>
        <v>1</v>
      </c>
      <c r="R1" s="12" t="b">
        <f>AQ1&gt;0</f>
        <v>1</v>
      </c>
      <c r="S1" s="12" t="b">
        <f>AR1&gt;0</f>
        <v>1</v>
      </c>
      <c r="AG1" s="12">
        <f>100-AH1-AI1</f>
        <v>0</v>
      </c>
      <c r="AH1" s="12">
        <f>COUNTIF(AI2:AI101,"")</f>
        <v>0</v>
      </c>
      <c r="AI1" s="12">
        <f>COUNTIF(AI2:AI101,1)</f>
        <v>100</v>
      </c>
      <c r="AJ1" s="12">
        <f>SUMPRODUCT(1/COUNTIF(AJ2:AJ101,AJ2:AJ101&amp;""))</f>
        <v>1.0000000000000007</v>
      </c>
      <c r="AK1" s="12">
        <f>SUMPRODUCT(1/COUNTIF(AK2:AK101,AK2:AK101&amp;""))</f>
        <v>5.9999999999999973</v>
      </c>
      <c r="AL1" s="12">
        <f>COUNTIF(AL2:AL101,TRUE)</f>
        <v>100</v>
      </c>
      <c r="AM1" s="12">
        <f>COUNTIF(AK2:AK101,"J")</f>
        <v>13</v>
      </c>
      <c r="AN1" s="12">
        <f>COUNTIF(AK2:AK101,"K")</f>
        <v>20</v>
      </c>
      <c r="AO1" s="12">
        <f>COUNTIF(AK2:AK101,"B")</f>
        <v>19</v>
      </c>
      <c r="AP1" s="12">
        <f>COUNTIF(AK2:AK101,"Z")</f>
        <v>6</v>
      </c>
      <c r="AQ1" s="12">
        <f>COUNTIF(AK2:AK101,"X")</f>
        <v>20</v>
      </c>
      <c r="AR1" s="12">
        <f>COUNTIF(AK2:AK101,"Q")+COUNTIF(AK2:AK101,"QU")</f>
        <v>22</v>
      </c>
    </row>
    <row r="2" spans="1:44" ht="9.75" customHeight="1" x14ac:dyDescent="0.45">
      <c r="B2" s="13"/>
      <c r="C2" s="14"/>
      <c r="D2" s="14"/>
      <c r="E2" s="14"/>
      <c r="F2" s="14"/>
      <c r="G2" s="15"/>
      <c r="J2" s="12" t="s">
        <v>8</v>
      </c>
      <c r="K2" s="12" t="s">
        <v>14</v>
      </c>
      <c r="L2" s="12" t="s">
        <v>9</v>
      </c>
      <c r="M2" s="12" t="s">
        <v>0</v>
      </c>
      <c r="N2" s="12" t="s">
        <v>2</v>
      </c>
      <c r="O2" s="12" t="s">
        <v>9</v>
      </c>
      <c r="P2" s="12" t="s">
        <v>9</v>
      </c>
      <c r="Q2" s="12" t="s">
        <v>4</v>
      </c>
      <c r="R2" s="12" t="s">
        <v>24</v>
      </c>
      <c r="S2" s="12" t="s">
        <v>6</v>
      </c>
      <c r="T2" s="12" t="s">
        <v>17</v>
      </c>
      <c r="U2" s="12" t="s">
        <v>1</v>
      </c>
      <c r="V2" s="12" t="s">
        <v>10</v>
      </c>
      <c r="W2" s="12" t="s">
        <v>14</v>
      </c>
      <c r="X2" s="12" t="s">
        <v>22</v>
      </c>
      <c r="Y2" s="12" t="s">
        <v>14</v>
      </c>
      <c r="Z2" s="12" t="s">
        <v>5</v>
      </c>
      <c r="AA2" s="12" t="s">
        <v>4</v>
      </c>
      <c r="AB2" s="12" t="s">
        <v>6</v>
      </c>
      <c r="AC2" s="12" t="s">
        <v>6</v>
      </c>
      <c r="AD2" s="12" t="s">
        <v>10</v>
      </c>
      <c r="AE2" s="12" t="s">
        <v>15</v>
      </c>
      <c r="AF2" s="12" t="s">
        <v>7</v>
      </c>
      <c r="AG2" s="12" t="s">
        <v>18</v>
      </c>
      <c r="AH2" s="12" t="s">
        <v>6</v>
      </c>
      <c r="AI2" s="12">
        <v>1</v>
      </c>
      <c r="AJ2" s="12">
        <v>9</v>
      </c>
      <c r="AK2" s="12" t="s">
        <v>24</v>
      </c>
      <c r="AL2" s="12" t="b">
        <v>1</v>
      </c>
    </row>
    <row r="3" spans="1:44" ht="170.25" customHeight="1" x14ac:dyDescent="0.45">
      <c r="B3" s="16"/>
      <c r="C3" s="17" t="s">
        <v>29</v>
      </c>
      <c r="D3" s="17"/>
      <c r="E3" s="17"/>
      <c r="F3" s="17"/>
      <c r="G3" s="18"/>
      <c r="J3" s="12" t="s">
        <v>0</v>
      </c>
      <c r="K3" s="12" t="s">
        <v>9</v>
      </c>
      <c r="L3" s="12" t="s">
        <v>9</v>
      </c>
      <c r="M3" s="12" t="s">
        <v>0</v>
      </c>
      <c r="N3" s="12" t="s">
        <v>9</v>
      </c>
      <c r="O3" s="12" t="s">
        <v>9</v>
      </c>
      <c r="P3" s="12" t="s">
        <v>0</v>
      </c>
      <c r="Q3" s="12" t="s">
        <v>4</v>
      </c>
      <c r="R3" s="12" t="s">
        <v>21</v>
      </c>
      <c r="S3" s="12" t="s">
        <v>4</v>
      </c>
      <c r="T3" s="12" t="s">
        <v>10</v>
      </c>
      <c r="U3" s="12" t="s">
        <v>6</v>
      </c>
      <c r="V3" s="12" t="s">
        <v>17</v>
      </c>
      <c r="W3" s="12" t="s">
        <v>22</v>
      </c>
      <c r="X3" s="12" t="s">
        <v>22</v>
      </c>
      <c r="Y3" s="12" t="s">
        <v>14</v>
      </c>
      <c r="Z3" s="12" t="s">
        <v>5</v>
      </c>
      <c r="AA3" s="12" t="s">
        <v>2</v>
      </c>
      <c r="AB3" s="12" t="s">
        <v>3</v>
      </c>
      <c r="AC3" s="12" t="s">
        <v>17</v>
      </c>
      <c r="AD3" s="12" t="s">
        <v>10</v>
      </c>
      <c r="AE3" s="12" t="s">
        <v>25</v>
      </c>
      <c r="AF3" s="12" t="s">
        <v>17</v>
      </c>
      <c r="AG3" s="12" t="s">
        <v>18</v>
      </c>
      <c r="AH3" s="12" t="s">
        <v>3</v>
      </c>
      <c r="AI3" s="12">
        <v>1</v>
      </c>
      <c r="AJ3" s="12">
        <v>9</v>
      </c>
      <c r="AK3" s="12" t="s">
        <v>21</v>
      </c>
      <c r="AL3" s="12" t="b">
        <v>1</v>
      </c>
    </row>
    <row r="4" spans="1:44" ht="10.5" customHeight="1" thickBot="1" x14ac:dyDescent="0.5">
      <c r="B4" s="19"/>
      <c r="C4" s="20"/>
      <c r="D4" s="20"/>
      <c r="E4" s="20"/>
      <c r="F4" s="20"/>
      <c r="G4" s="21"/>
      <c r="J4" s="12" t="s">
        <v>20</v>
      </c>
      <c r="K4" s="12" t="s">
        <v>2</v>
      </c>
      <c r="L4" s="12" t="s">
        <v>9</v>
      </c>
      <c r="M4" s="12" t="s">
        <v>4</v>
      </c>
      <c r="N4" s="12" t="s">
        <v>2</v>
      </c>
      <c r="O4" s="12" t="s">
        <v>9</v>
      </c>
      <c r="P4" s="12" t="s">
        <v>18</v>
      </c>
      <c r="Q4" s="12" t="s">
        <v>4</v>
      </c>
      <c r="R4" s="12" t="s">
        <v>23</v>
      </c>
      <c r="S4" s="12" t="s">
        <v>2</v>
      </c>
      <c r="T4" s="12" t="s">
        <v>17</v>
      </c>
      <c r="U4" s="12" t="s">
        <v>1</v>
      </c>
      <c r="V4" s="12" t="s">
        <v>4</v>
      </c>
      <c r="W4" s="12" t="s">
        <v>7</v>
      </c>
      <c r="X4" s="12" t="s">
        <v>5</v>
      </c>
      <c r="Y4" s="12" t="s">
        <v>2</v>
      </c>
      <c r="Z4" s="12" t="s">
        <v>14</v>
      </c>
      <c r="AA4" s="12" t="s">
        <v>4</v>
      </c>
      <c r="AB4" s="12" t="s">
        <v>9</v>
      </c>
      <c r="AC4" s="12" t="s">
        <v>17</v>
      </c>
      <c r="AD4" s="12" t="s">
        <v>4</v>
      </c>
      <c r="AE4" s="12" t="s">
        <v>3</v>
      </c>
      <c r="AF4" s="12" t="s">
        <v>7</v>
      </c>
      <c r="AG4" s="12" t="s">
        <v>2</v>
      </c>
      <c r="AH4" s="12" t="s">
        <v>6</v>
      </c>
      <c r="AI4" s="12">
        <v>1</v>
      </c>
      <c r="AJ4" s="12">
        <v>9</v>
      </c>
      <c r="AK4" s="12" t="s">
        <v>23</v>
      </c>
      <c r="AL4" s="12" t="b">
        <v>1</v>
      </c>
    </row>
    <row r="5" spans="1:44" ht="9" customHeight="1" thickBot="1" x14ac:dyDescent="0.5">
      <c r="J5" s="12" t="s">
        <v>17</v>
      </c>
      <c r="K5" s="12" t="s">
        <v>2</v>
      </c>
      <c r="L5" s="12" t="s">
        <v>9</v>
      </c>
      <c r="M5" s="12" t="s">
        <v>7</v>
      </c>
      <c r="N5" s="12" t="s">
        <v>2</v>
      </c>
      <c r="O5" s="12" t="s">
        <v>9</v>
      </c>
      <c r="P5" s="12" t="s">
        <v>11</v>
      </c>
      <c r="Q5" s="12" t="s">
        <v>0</v>
      </c>
      <c r="R5" s="12" t="s">
        <v>16</v>
      </c>
      <c r="S5" s="12" t="s">
        <v>4</v>
      </c>
      <c r="T5" s="12" t="s">
        <v>17</v>
      </c>
      <c r="U5" s="12" t="s">
        <v>22</v>
      </c>
      <c r="V5" s="12" t="s">
        <v>1</v>
      </c>
      <c r="W5" s="12" t="s">
        <v>7</v>
      </c>
      <c r="X5" s="12" t="s">
        <v>22</v>
      </c>
      <c r="Y5" s="12" t="s">
        <v>2</v>
      </c>
      <c r="Z5" s="12" t="s">
        <v>14</v>
      </c>
      <c r="AA5" s="12" t="s">
        <v>4</v>
      </c>
      <c r="AB5" s="12" t="s">
        <v>6</v>
      </c>
      <c r="AC5" s="12" t="s">
        <v>6</v>
      </c>
      <c r="AD5" s="12" t="s">
        <v>10</v>
      </c>
      <c r="AE5" s="12" t="s">
        <v>15</v>
      </c>
      <c r="AF5" s="12" t="s">
        <v>17</v>
      </c>
      <c r="AG5" s="12" t="s">
        <v>2</v>
      </c>
      <c r="AH5" s="12" t="s">
        <v>18</v>
      </c>
      <c r="AI5" s="12">
        <v>1</v>
      </c>
      <c r="AJ5" s="12">
        <v>9</v>
      </c>
      <c r="AK5" s="12" t="s">
        <v>16</v>
      </c>
      <c r="AL5" s="12" t="b">
        <v>1</v>
      </c>
    </row>
    <row r="6" spans="1:44" ht="32.25" customHeight="1" thickBot="1" x14ac:dyDescent="0.5">
      <c r="D6" s="26"/>
      <c r="F6" s="22" t="s">
        <v>13</v>
      </c>
      <c r="J6" s="12" t="s">
        <v>20</v>
      </c>
      <c r="K6" s="12" t="s">
        <v>2</v>
      </c>
      <c r="L6" s="12" t="s">
        <v>9</v>
      </c>
      <c r="M6" s="12" t="s">
        <v>7</v>
      </c>
      <c r="N6" s="12" t="s">
        <v>15</v>
      </c>
      <c r="O6" s="12" t="s">
        <v>9</v>
      </c>
      <c r="P6" s="12" t="s">
        <v>15</v>
      </c>
      <c r="Q6" s="12" t="s">
        <v>7</v>
      </c>
      <c r="R6" s="12" t="s">
        <v>19</v>
      </c>
      <c r="S6" s="12" t="s">
        <v>4</v>
      </c>
      <c r="T6" s="12" t="s">
        <v>10</v>
      </c>
      <c r="U6" s="12" t="s">
        <v>1</v>
      </c>
      <c r="V6" s="12" t="s">
        <v>10</v>
      </c>
      <c r="W6" s="12" t="s">
        <v>5</v>
      </c>
      <c r="X6" s="12" t="s">
        <v>14</v>
      </c>
      <c r="Y6" s="12" t="s">
        <v>2</v>
      </c>
      <c r="Z6" s="12" t="s">
        <v>3</v>
      </c>
      <c r="AA6" s="12" t="s">
        <v>18</v>
      </c>
      <c r="AB6" s="12" t="s">
        <v>6</v>
      </c>
      <c r="AC6" s="12" t="s">
        <v>17</v>
      </c>
      <c r="AD6" s="12" t="s">
        <v>8</v>
      </c>
      <c r="AE6" s="12" t="s">
        <v>12</v>
      </c>
      <c r="AF6" s="12" t="s">
        <v>7</v>
      </c>
      <c r="AG6" s="12" t="s">
        <v>6</v>
      </c>
      <c r="AH6" s="12" t="s">
        <v>3</v>
      </c>
      <c r="AI6" s="12">
        <v>1</v>
      </c>
      <c r="AJ6" s="12">
        <v>9</v>
      </c>
      <c r="AK6" s="12" t="s">
        <v>19</v>
      </c>
      <c r="AL6" s="12" t="b">
        <v>1</v>
      </c>
    </row>
    <row r="7" spans="1:44" ht="23.25" customHeight="1" x14ac:dyDescent="0.45">
      <c r="A7" s="23"/>
      <c r="J7" s="12" t="s">
        <v>0</v>
      </c>
      <c r="K7" s="12" t="s">
        <v>2</v>
      </c>
      <c r="L7" s="12" t="s">
        <v>11</v>
      </c>
      <c r="M7" s="12" t="s">
        <v>0</v>
      </c>
      <c r="N7" s="12" t="s">
        <v>11</v>
      </c>
      <c r="O7" s="12" t="s">
        <v>0</v>
      </c>
      <c r="P7" s="12" t="s">
        <v>9</v>
      </c>
      <c r="Q7" s="12" t="s">
        <v>0</v>
      </c>
      <c r="R7" s="12" t="s">
        <v>24</v>
      </c>
      <c r="S7" s="12" t="s">
        <v>4</v>
      </c>
      <c r="T7" s="12" t="s">
        <v>9</v>
      </c>
      <c r="U7" s="12" t="s">
        <v>17</v>
      </c>
      <c r="V7" s="12" t="s">
        <v>1</v>
      </c>
      <c r="W7" s="12" t="s">
        <v>2</v>
      </c>
      <c r="X7" s="12" t="s">
        <v>5</v>
      </c>
      <c r="Y7" s="12" t="s">
        <v>6</v>
      </c>
      <c r="Z7" s="12" t="s">
        <v>5</v>
      </c>
      <c r="AA7" s="12" t="s">
        <v>4</v>
      </c>
      <c r="AB7" s="12" t="s">
        <v>6</v>
      </c>
      <c r="AC7" s="12" t="s">
        <v>17</v>
      </c>
      <c r="AD7" s="12" t="s">
        <v>4</v>
      </c>
      <c r="AE7" s="12" t="s">
        <v>15</v>
      </c>
      <c r="AF7" s="12" t="s">
        <v>17</v>
      </c>
      <c r="AG7" s="12" t="s">
        <v>6</v>
      </c>
      <c r="AH7" s="12" t="s">
        <v>3</v>
      </c>
      <c r="AI7" s="12">
        <v>1</v>
      </c>
      <c r="AJ7" s="12">
        <v>9</v>
      </c>
      <c r="AK7" s="12" t="s">
        <v>24</v>
      </c>
      <c r="AL7" s="12" t="b">
        <v>1</v>
      </c>
    </row>
    <row r="8" spans="1:44" ht="28.5" customHeight="1" x14ac:dyDescent="0.45">
      <c r="A8" s="24"/>
      <c r="D8" s="25"/>
      <c r="J8" s="12" t="s">
        <v>4</v>
      </c>
      <c r="K8" s="12" t="s">
        <v>2</v>
      </c>
      <c r="L8" s="12" t="s">
        <v>9</v>
      </c>
      <c r="M8" s="12" t="s">
        <v>0</v>
      </c>
      <c r="N8" s="12" t="s">
        <v>11</v>
      </c>
      <c r="O8" s="12" t="s">
        <v>0</v>
      </c>
      <c r="P8" s="12" t="s">
        <v>9</v>
      </c>
      <c r="Q8" s="12" t="s">
        <v>20</v>
      </c>
      <c r="R8" s="12" t="s">
        <v>23</v>
      </c>
      <c r="S8" s="12" t="s">
        <v>1</v>
      </c>
      <c r="T8" s="12" t="s">
        <v>1</v>
      </c>
      <c r="U8" s="12" t="s">
        <v>6</v>
      </c>
      <c r="V8" s="12" t="s">
        <v>1</v>
      </c>
      <c r="W8" s="12" t="s">
        <v>3</v>
      </c>
      <c r="X8" s="12" t="s">
        <v>14</v>
      </c>
      <c r="Y8" s="12" t="s">
        <v>2</v>
      </c>
      <c r="Z8" s="12" t="s">
        <v>3</v>
      </c>
      <c r="AA8" s="12" t="s">
        <v>4</v>
      </c>
      <c r="AB8" s="12" t="s">
        <v>11</v>
      </c>
      <c r="AC8" s="12" t="s">
        <v>17</v>
      </c>
      <c r="AD8" s="12" t="s">
        <v>10</v>
      </c>
      <c r="AE8" s="12" t="s">
        <v>25</v>
      </c>
      <c r="AF8" s="12" t="s">
        <v>7</v>
      </c>
      <c r="AG8" s="12" t="s">
        <v>18</v>
      </c>
      <c r="AH8" s="12" t="s">
        <v>6</v>
      </c>
      <c r="AI8" s="12">
        <v>1</v>
      </c>
      <c r="AJ8" s="12">
        <v>9</v>
      </c>
      <c r="AK8" s="12" t="s">
        <v>23</v>
      </c>
      <c r="AL8" s="12" t="b">
        <v>1</v>
      </c>
    </row>
    <row r="9" spans="1:44" x14ac:dyDescent="0.45">
      <c r="J9" s="12" t="s">
        <v>8</v>
      </c>
      <c r="K9" s="12" t="s">
        <v>2</v>
      </c>
      <c r="L9" s="12" t="s">
        <v>9</v>
      </c>
      <c r="M9" s="12" t="s">
        <v>4</v>
      </c>
      <c r="N9" s="12" t="s">
        <v>11</v>
      </c>
      <c r="O9" s="12" t="s">
        <v>9</v>
      </c>
      <c r="P9" s="12" t="s">
        <v>11</v>
      </c>
      <c r="Q9" s="12" t="s">
        <v>17</v>
      </c>
      <c r="R9" s="12" t="s">
        <v>26</v>
      </c>
      <c r="S9" s="12" t="s">
        <v>4</v>
      </c>
      <c r="T9" s="12" t="s">
        <v>10</v>
      </c>
      <c r="U9" s="12" t="s">
        <v>17</v>
      </c>
      <c r="V9" s="12" t="s">
        <v>17</v>
      </c>
      <c r="W9" s="12" t="s">
        <v>5</v>
      </c>
      <c r="X9" s="12" t="s">
        <v>7</v>
      </c>
      <c r="Y9" s="12" t="s">
        <v>2</v>
      </c>
      <c r="Z9" s="12" t="s">
        <v>3</v>
      </c>
      <c r="AA9" s="12" t="s">
        <v>18</v>
      </c>
      <c r="AB9" s="12" t="s">
        <v>3</v>
      </c>
      <c r="AC9" s="12" t="s">
        <v>6</v>
      </c>
      <c r="AD9" s="12" t="s">
        <v>17</v>
      </c>
      <c r="AE9" s="12" t="s">
        <v>12</v>
      </c>
      <c r="AF9" s="12" t="s">
        <v>17</v>
      </c>
      <c r="AG9" s="12" t="s">
        <v>6</v>
      </c>
      <c r="AH9" s="12" t="s">
        <v>3</v>
      </c>
      <c r="AI9" s="12">
        <v>1</v>
      </c>
      <c r="AJ9" s="12">
        <v>9</v>
      </c>
      <c r="AK9" s="12" t="s">
        <v>26</v>
      </c>
      <c r="AL9" s="12" t="b">
        <v>1</v>
      </c>
    </row>
    <row r="10" spans="1:44" x14ac:dyDescent="0.45">
      <c r="J10" s="12" t="s">
        <v>20</v>
      </c>
      <c r="K10" s="12" t="s">
        <v>2</v>
      </c>
      <c r="L10" s="12" t="s">
        <v>9</v>
      </c>
      <c r="M10" s="12" t="s">
        <v>20</v>
      </c>
      <c r="N10" s="12" t="s">
        <v>0</v>
      </c>
      <c r="O10" s="12" t="s">
        <v>9</v>
      </c>
      <c r="P10" s="12" t="s">
        <v>18</v>
      </c>
      <c r="Q10" s="12" t="s">
        <v>7</v>
      </c>
      <c r="R10" s="12" t="s">
        <v>19</v>
      </c>
      <c r="S10" s="12" t="s">
        <v>6</v>
      </c>
      <c r="T10" s="12" t="s">
        <v>9</v>
      </c>
      <c r="U10" s="12" t="s">
        <v>9</v>
      </c>
      <c r="V10" s="12" t="s">
        <v>4</v>
      </c>
      <c r="W10" s="12" t="s">
        <v>2</v>
      </c>
      <c r="X10" s="12" t="s">
        <v>7</v>
      </c>
      <c r="Y10" s="12" t="s">
        <v>14</v>
      </c>
      <c r="Z10" s="12" t="s">
        <v>14</v>
      </c>
      <c r="AA10" s="12" t="s">
        <v>4</v>
      </c>
      <c r="AB10" s="12" t="s">
        <v>6</v>
      </c>
      <c r="AC10" s="12" t="s">
        <v>17</v>
      </c>
      <c r="AD10" s="12" t="s">
        <v>7</v>
      </c>
      <c r="AE10" s="12" t="s">
        <v>25</v>
      </c>
      <c r="AF10" s="12" t="s">
        <v>8</v>
      </c>
      <c r="AG10" s="12" t="s">
        <v>3</v>
      </c>
      <c r="AH10" s="12" t="s">
        <v>3</v>
      </c>
      <c r="AI10" s="12">
        <v>1</v>
      </c>
      <c r="AJ10" s="12">
        <v>9</v>
      </c>
      <c r="AK10" s="12" t="s">
        <v>19</v>
      </c>
      <c r="AL10" s="12" t="b">
        <v>1</v>
      </c>
    </row>
    <row r="11" spans="1:44" x14ac:dyDescent="0.45">
      <c r="J11" s="12" t="s">
        <v>0</v>
      </c>
      <c r="K11" s="12" t="s">
        <v>14</v>
      </c>
      <c r="L11" s="12" t="s">
        <v>0</v>
      </c>
      <c r="M11" s="12" t="s">
        <v>0</v>
      </c>
      <c r="N11" s="12" t="s">
        <v>2</v>
      </c>
      <c r="O11" s="12" t="s">
        <v>9</v>
      </c>
      <c r="P11" s="12" t="s">
        <v>18</v>
      </c>
      <c r="Q11" s="12" t="s">
        <v>17</v>
      </c>
      <c r="R11" s="12" t="s">
        <v>21</v>
      </c>
      <c r="S11" s="12" t="s">
        <v>4</v>
      </c>
      <c r="T11" s="12" t="s">
        <v>6</v>
      </c>
      <c r="U11" s="12" t="s">
        <v>1</v>
      </c>
      <c r="V11" s="12" t="s">
        <v>6</v>
      </c>
      <c r="W11" s="12" t="s">
        <v>3</v>
      </c>
      <c r="X11" s="12" t="s">
        <v>5</v>
      </c>
      <c r="Y11" s="12" t="s">
        <v>3</v>
      </c>
      <c r="Z11" s="12" t="s">
        <v>5</v>
      </c>
      <c r="AA11" s="12" t="s">
        <v>2</v>
      </c>
      <c r="AB11" s="12" t="s">
        <v>6</v>
      </c>
      <c r="AC11" s="12" t="s">
        <v>6</v>
      </c>
      <c r="AD11" s="12" t="s">
        <v>20</v>
      </c>
      <c r="AE11" s="12" t="s">
        <v>12</v>
      </c>
      <c r="AF11" s="12" t="s">
        <v>7</v>
      </c>
      <c r="AG11" s="12" t="s">
        <v>12</v>
      </c>
      <c r="AH11" s="12" t="s">
        <v>18</v>
      </c>
      <c r="AI11" s="12">
        <v>1</v>
      </c>
      <c r="AJ11" s="12">
        <v>9</v>
      </c>
      <c r="AK11" s="12" t="s">
        <v>21</v>
      </c>
      <c r="AL11" s="12" t="b">
        <v>1</v>
      </c>
    </row>
    <row r="12" spans="1:44" x14ac:dyDescent="0.45">
      <c r="J12" s="12" t="s">
        <v>4</v>
      </c>
      <c r="K12" s="12" t="s">
        <v>2</v>
      </c>
      <c r="L12" s="12" t="s">
        <v>9</v>
      </c>
      <c r="M12" s="12" t="s">
        <v>0</v>
      </c>
      <c r="N12" s="12" t="s">
        <v>2</v>
      </c>
      <c r="O12" s="12" t="s">
        <v>9</v>
      </c>
      <c r="P12" s="12" t="s">
        <v>9</v>
      </c>
      <c r="Q12" s="12" t="s">
        <v>17</v>
      </c>
      <c r="R12" s="12" t="s">
        <v>16</v>
      </c>
      <c r="S12" s="12" t="s">
        <v>9</v>
      </c>
      <c r="T12" s="12" t="s">
        <v>9</v>
      </c>
      <c r="U12" s="12" t="s">
        <v>9</v>
      </c>
      <c r="V12" s="12" t="s">
        <v>6</v>
      </c>
      <c r="W12" s="12" t="s">
        <v>5</v>
      </c>
      <c r="X12" s="12" t="s">
        <v>22</v>
      </c>
      <c r="Y12" s="12" t="s">
        <v>14</v>
      </c>
      <c r="Z12" s="12" t="s">
        <v>22</v>
      </c>
      <c r="AA12" s="12" t="s">
        <v>2</v>
      </c>
      <c r="AB12" s="12" t="s">
        <v>6</v>
      </c>
      <c r="AC12" s="12" t="s">
        <v>17</v>
      </c>
      <c r="AD12" s="12" t="s">
        <v>4</v>
      </c>
      <c r="AE12" s="12" t="s">
        <v>7</v>
      </c>
      <c r="AF12" s="12" t="s">
        <v>7</v>
      </c>
      <c r="AG12" s="12" t="s">
        <v>18</v>
      </c>
      <c r="AH12" s="12" t="s">
        <v>3</v>
      </c>
      <c r="AI12" s="12">
        <v>1</v>
      </c>
      <c r="AJ12" s="12">
        <v>9</v>
      </c>
      <c r="AK12" s="12" t="s">
        <v>16</v>
      </c>
      <c r="AL12" s="12" t="b">
        <v>1</v>
      </c>
    </row>
    <row r="13" spans="1:44" x14ac:dyDescent="0.45">
      <c r="J13" s="12" t="s">
        <v>20</v>
      </c>
      <c r="K13" s="12" t="s">
        <v>2</v>
      </c>
      <c r="L13" s="12" t="s">
        <v>9</v>
      </c>
      <c r="M13" s="12" t="s">
        <v>7</v>
      </c>
      <c r="N13" s="12" t="s">
        <v>0</v>
      </c>
      <c r="O13" s="12" t="s">
        <v>9</v>
      </c>
      <c r="P13" s="12" t="s">
        <v>9</v>
      </c>
      <c r="Q13" s="12" t="s">
        <v>7</v>
      </c>
      <c r="R13" s="12" t="s">
        <v>24</v>
      </c>
      <c r="S13" s="12" t="s">
        <v>9</v>
      </c>
      <c r="T13" s="12" t="s">
        <v>22</v>
      </c>
      <c r="U13" s="12" t="s">
        <v>22</v>
      </c>
      <c r="V13" s="12" t="s">
        <v>17</v>
      </c>
      <c r="W13" s="12" t="s">
        <v>2</v>
      </c>
      <c r="X13" s="12" t="s">
        <v>22</v>
      </c>
      <c r="Y13" s="12" t="s">
        <v>5</v>
      </c>
      <c r="Z13" s="12" t="s">
        <v>5</v>
      </c>
      <c r="AA13" s="12" t="s">
        <v>4</v>
      </c>
      <c r="AB13" s="12" t="s">
        <v>9</v>
      </c>
      <c r="AC13" s="12" t="s">
        <v>9</v>
      </c>
      <c r="AD13" s="12" t="s">
        <v>20</v>
      </c>
      <c r="AE13" s="12" t="s">
        <v>25</v>
      </c>
      <c r="AF13" s="12" t="s">
        <v>8</v>
      </c>
      <c r="AG13" s="12" t="s">
        <v>12</v>
      </c>
      <c r="AH13" s="12" t="s">
        <v>3</v>
      </c>
      <c r="AI13" s="12">
        <v>1</v>
      </c>
      <c r="AJ13" s="12">
        <v>9</v>
      </c>
      <c r="AK13" s="12" t="s">
        <v>24</v>
      </c>
      <c r="AL13" s="12" t="b">
        <v>1</v>
      </c>
    </row>
    <row r="14" spans="1:44" x14ac:dyDescent="0.45">
      <c r="J14" s="12" t="s">
        <v>20</v>
      </c>
      <c r="K14" s="12" t="s">
        <v>0</v>
      </c>
      <c r="L14" s="12" t="s">
        <v>0</v>
      </c>
      <c r="M14" s="12" t="s">
        <v>0</v>
      </c>
      <c r="N14" s="12" t="s">
        <v>0</v>
      </c>
      <c r="O14" s="12" t="s">
        <v>9</v>
      </c>
      <c r="P14" s="12" t="s">
        <v>9</v>
      </c>
      <c r="Q14" s="12" t="s">
        <v>0</v>
      </c>
      <c r="R14" s="12" t="s">
        <v>24</v>
      </c>
      <c r="S14" s="12" t="s">
        <v>1</v>
      </c>
      <c r="T14" s="12" t="s">
        <v>1</v>
      </c>
      <c r="U14" s="12" t="s">
        <v>22</v>
      </c>
      <c r="V14" s="12" t="s">
        <v>9</v>
      </c>
      <c r="W14" s="12" t="s">
        <v>5</v>
      </c>
      <c r="X14" s="12" t="s">
        <v>7</v>
      </c>
      <c r="Y14" s="12" t="s">
        <v>6</v>
      </c>
      <c r="Z14" s="12" t="s">
        <v>3</v>
      </c>
      <c r="AA14" s="12" t="s">
        <v>4</v>
      </c>
      <c r="AB14" s="12" t="s">
        <v>9</v>
      </c>
      <c r="AC14" s="12" t="s">
        <v>17</v>
      </c>
      <c r="AD14" s="12" t="s">
        <v>10</v>
      </c>
      <c r="AE14" s="12" t="s">
        <v>25</v>
      </c>
      <c r="AF14" s="12" t="s">
        <v>7</v>
      </c>
      <c r="AG14" s="12" t="s">
        <v>18</v>
      </c>
      <c r="AH14" s="12" t="s">
        <v>3</v>
      </c>
      <c r="AI14" s="12">
        <v>1</v>
      </c>
      <c r="AJ14" s="12">
        <v>9</v>
      </c>
      <c r="AK14" s="12" t="s">
        <v>24</v>
      </c>
      <c r="AL14" s="12" t="b">
        <v>1</v>
      </c>
    </row>
    <row r="15" spans="1:44" x14ac:dyDescent="0.45">
      <c r="J15" s="12" t="s">
        <v>17</v>
      </c>
      <c r="K15" s="12" t="s">
        <v>0</v>
      </c>
      <c r="L15" s="12" t="s">
        <v>9</v>
      </c>
      <c r="M15" s="12" t="s">
        <v>7</v>
      </c>
      <c r="N15" s="12" t="s">
        <v>15</v>
      </c>
      <c r="O15" s="12" t="s">
        <v>9</v>
      </c>
      <c r="P15" s="12" t="s">
        <v>15</v>
      </c>
      <c r="Q15" s="12" t="s">
        <v>0</v>
      </c>
      <c r="R15" s="12" t="s">
        <v>23</v>
      </c>
      <c r="S15" s="12" t="s">
        <v>1</v>
      </c>
      <c r="T15" s="12" t="s">
        <v>6</v>
      </c>
      <c r="U15" s="12" t="s">
        <v>6</v>
      </c>
      <c r="V15" s="12" t="s">
        <v>1</v>
      </c>
      <c r="W15" s="12" t="s">
        <v>22</v>
      </c>
      <c r="X15" s="12" t="s">
        <v>2</v>
      </c>
      <c r="Y15" s="12" t="s">
        <v>6</v>
      </c>
      <c r="Z15" s="12" t="s">
        <v>3</v>
      </c>
      <c r="AA15" s="12" t="s">
        <v>18</v>
      </c>
      <c r="AB15" s="12" t="s">
        <v>11</v>
      </c>
      <c r="AC15" s="12" t="s">
        <v>17</v>
      </c>
      <c r="AD15" s="12" t="s">
        <v>7</v>
      </c>
      <c r="AE15" s="12" t="s">
        <v>12</v>
      </c>
      <c r="AF15" s="12" t="s">
        <v>10</v>
      </c>
      <c r="AG15" s="12" t="s">
        <v>6</v>
      </c>
      <c r="AH15" s="12" t="s">
        <v>18</v>
      </c>
      <c r="AI15" s="12">
        <v>1</v>
      </c>
      <c r="AJ15" s="12">
        <v>9</v>
      </c>
      <c r="AK15" s="12" t="s">
        <v>23</v>
      </c>
      <c r="AL15" s="12" t="b">
        <v>1</v>
      </c>
    </row>
    <row r="16" spans="1:44" x14ac:dyDescent="0.45">
      <c r="J16" s="12" t="s">
        <v>8</v>
      </c>
      <c r="K16" s="12" t="s">
        <v>2</v>
      </c>
      <c r="L16" s="12" t="s">
        <v>9</v>
      </c>
      <c r="M16" s="12" t="s">
        <v>0</v>
      </c>
      <c r="N16" s="12" t="s">
        <v>15</v>
      </c>
      <c r="O16" s="12" t="s">
        <v>0</v>
      </c>
      <c r="P16" s="12" t="s">
        <v>9</v>
      </c>
      <c r="Q16" s="12" t="s">
        <v>4</v>
      </c>
      <c r="R16" s="12" t="s">
        <v>24</v>
      </c>
      <c r="S16" s="12" t="s">
        <v>1</v>
      </c>
      <c r="T16" s="12" t="s">
        <v>10</v>
      </c>
      <c r="U16" s="12" t="s">
        <v>6</v>
      </c>
      <c r="V16" s="12" t="s">
        <v>4</v>
      </c>
      <c r="W16" s="12" t="s">
        <v>14</v>
      </c>
      <c r="X16" s="12" t="s">
        <v>5</v>
      </c>
      <c r="Y16" s="12" t="s">
        <v>14</v>
      </c>
      <c r="Z16" s="12" t="s">
        <v>14</v>
      </c>
      <c r="AA16" s="12" t="s">
        <v>2</v>
      </c>
      <c r="AB16" s="12" t="s">
        <v>6</v>
      </c>
      <c r="AC16" s="12" t="s">
        <v>17</v>
      </c>
      <c r="AD16" s="12" t="s">
        <v>17</v>
      </c>
      <c r="AE16" s="12" t="s">
        <v>3</v>
      </c>
      <c r="AF16" s="12" t="s">
        <v>10</v>
      </c>
      <c r="AG16" s="12" t="s">
        <v>3</v>
      </c>
      <c r="AH16" s="12" t="s">
        <v>3</v>
      </c>
      <c r="AI16" s="12">
        <v>1</v>
      </c>
      <c r="AJ16" s="12">
        <v>9</v>
      </c>
      <c r="AK16" s="12" t="s">
        <v>24</v>
      </c>
      <c r="AL16" s="12" t="b">
        <v>1</v>
      </c>
    </row>
    <row r="17" spans="10:38" x14ac:dyDescent="0.45">
      <c r="J17" s="12" t="s">
        <v>0</v>
      </c>
      <c r="K17" s="12" t="s">
        <v>9</v>
      </c>
      <c r="L17" s="12" t="s">
        <v>9</v>
      </c>
      <c r="M17" s="12" t="s">
        <v>0</v>
      </c>
      <c r="N17" s="12" t="s">
        <v>0</v>
      </c>
      <c r="O17" s="12" t="s">
        <v>9</v>
      </c>
      <c r="P17" s="12" t="s">
        <v>15</v>
      </c>
      <c r="Q17" s="12" t="s">
        <v>0</v>
      </c>
      <c r="R17" s="12" t="s">
        <v>26</v>
      </c>
      <c r="S17" s="12" t="s">
        <v>2</v>
      </c>
      <c r="T17" s="12" t="s">
        <v>1</v>
      </c>
      <c r="U17" s="12" t="s">
        <v>22</v>
      </c>
      <c r="V17" s="12" t="s">
        <v>1</v>
      </c>
      <c r="W17" s="12" t="s">
        <v>2</v>
      </c>
      <c r="X17" s="12" t="s">
        <v>3</v>
      </c>
      <c r="Y17" s="12" t="s">
        <v>14</v>
      </c>
      <c r="Z17" s="12" t="s">
        <v>3</v>
      </c>
      <c r="AA17" s="12" t="s">
        <v>18</v>
      </c>
      <c r="AB17" s="12" t="s">
        <v>6</v>
      </c>
      <c r="AC17" s="12" t="s">
        <v>9</v>
      </c>
      <c r="AD17" s="12" t="s">
        <v>4</v>
      </c>
      <c r="AE17" s="12" t="s">
        <v>7</v>
      </c>
      <c r="AF17" s="12" t="s">
        <v>8</v>
      </c>
      <c r="AG17" s="12" t="s">
        <v>3</v>
      </c>
      <c r="AH17" s="12" t="s">
        <v>3</v>
      </c>
      <c r="AI17" s="12">
        <v>1</v>
      </c>
      <c r="AJ17" s="12">
        <v>9</v>
      </c>
      <c r="AK17" s="12" t="s">
        <v>26</v>
      </c>
      <c r="AL17" s="12" t="b">
        <v>1</v>
      </c>
    </row>
    <row r="18" spans="10:38" x14ac:dyDescent="0.45">
      <c r="J18" s="12" t="s">
        <v>20</v>
      </c>
      <c r="K18" s="12" t="s">
        <v>14</v>
      </c>
      <c r="L18" s="12" t="s">
        <v>9</v>
      </c>
      <c r="M18" s="12" t="s">
        <v>7</v>
      </c>
      <c r="N18" s="12" t="s">
        <v>0</v>
      </c>
      <c r="O18" s="12" t="s">
        <v>9</v>
      </c>
      <c r="P18" s="12" t="s">
        <v>9</v>
      </c>
      <c r="Q18" s="12" t="s">
        <v>17</v>
      </c>
      <c r="R18" s="12" t="s">
        <v>26</v>
      </c>
      <c r="S18" s="12" t="s">
        <v>6</v>
      </c>
      <c r="T18" s="12" t="s">
        <v>1</v>
      </c>
      <c r="U18" s="12" t="s">
        <v>17</v>
      </c>
      <c r="V18" s="12" t="s">
        <v>6</v>
      </c>
      <c r="W18" s="12" t="s">
        <v>14</v>
      </c>
      <c r="X18" s="12" t="s">
        <v>5</v>
      </c>
      <c r="Y18" s="12" t="s">
        <v>3</v>
      </c>
      <c r="Z18" s="12" t="s">
        <v>22</v>
      </c>
      <c r="AA18" s="12" t="s">
        <v>4</v>
      </c>
      <c r="AB18" s="12" t="s">
        <v>6</v>
      </c>
      <c r="AC18" s="12" t="s">
        <v>17</v>
      </c>
      <c r="AD18" s="12" t="s">
        <v>7</v>
      </c>
      <c r="AE18" s="12" t="s">
        <v>15</v>
      </c>
      <c r="AF18" s="12" t="s">
        <v>10</v>
      </c>
      <c r="AG18" s="12" t="s">
        <v>3</v>
      </c>
      <c r="AH18" s="12" t="s">
        <v>18</v>
      </c>
      <c r="AI18" s="12">
        <v>1</v>
      </c>
      <c r="AJ18" s="12">
        <v>9</v>
      </c>
      <c r="AK18" s="12" t="s">
        <v>26</v>
      </c>
      <c r="AL18" s="12" t="b">
        <v>1</v>
      </c>
    </row>
    <row r="19" spans="10:38" x14ac:dyDescent="0.45">
      <c r="J19" s="12" t="s">
        <v>0</v>
      </c>
      <c r="K19" s="12" t="s">
        <v>0</v>
      </c>
      <c r="L19" s="12" t="s">
        <v>9</v>
      </c>
      <c r="M19" s="12" t="s">
        <v>0</v>
      </c>
      <c r="N19" s="12" t="s">
        <v>9</v>
      </c>
      <c r="O19" s="12" t="s">
        <v>0</v>
      </c>
      <c r="P19" s="12" t="s">
        <v>15</v>
      </c>
      <c r="Q19" s="12" t="s">
        <v>0</v>
      </c>
      <c r="R19" s="12" t="s">
        <v>23</v>
      </c>
      <c r="S19" s="12" t="s">
        <v>2</v>
      </c>
      <c r="T19" s="12" t="s">
        <v>1</v>
      </c>
      <c r="U19" s="12" t="s">
        <v>1</v>
      </c>
      <c r="V19" s="12" t="s">
        <v>17</v>
      </c>
      <c r="W19" s="12" t="s">
        <v>14</v>
      </c>
      <c r="X19" s="12" t="s">
        <v>7</v>
      </c>
      <c r="Y19" s="12" t="s">
        <v>5</v>
      </c>
      <c r="Z19" s="12" t="s">
        <v>5</v>
      </c>
      <c r="AA19" s="12" t="s">
        <v>9</v>
      </c>
      <c r="AB19" s="12" t="s">
        <v>6</v>
      </c>
      <c r="AC19" s="12" t="s">
        <v>6</v>
      </c>
      <c r="AD19" s="12" t="s">
        <v>10</v>
      </c>
      <c r="AE19" s="12" t="s">
        <v>15</v>
      </c>
      <c r="AF19" s="12" t="s">
        <v>10</v>
      </c>
      <c r="AG19" s="12" t="s">
        <v>6</v>
      </c>
      <c r="AH19" s="12" t="s">
        <v>18</v>
      </c>
      <c r="AI19" s="12">
        <v>1</v>
      </c>
      <c r="AJ19" s="12">
        <v>9</v>
      </c>
      <c r="AK19" s="12" t="s">
        <v>23</v>
      </c>
      <c r="AL19" s="12" t="b">
        <v>1</v>
      </c>
    </row>
    <row r="20" spans="10:38" x14ac:dyDescent="0.45">
      <c r="J20" s="12" t="s">
        <v>7</v>
      </c>
      <c r="K20" s="12" t="s">
        <v>2</v>
      </c>
      <c r="L20" s="12" t="s">
        <v>9</v>
      </c>
      <c r="M20" s="12" t="s">
        <v>20</v>
      </c>
      <c r="N20" s="12" t="s">
        <v>9</v>
      </c>
      <c r="O20" s="12" t="s">
        <v>9</v>
      </c>
      <c r="P20" s="12" t="s">
        <v>11</v>
      </c>
      <c r="Q20" s="12" t="s">
        <v>20</v>
      </c>
      <c r="R20" s="12" t="s">
        <v>19</v>
      </c>
      <c r="S20" s="12" t="s">
        <v>4</v>
      </c>
      <c r="T20" s="12" t="s">
        <v>9</v>
      </c>
      <c r="U20" s="12" t="s">
        <v>22</v>
      </c>
      <c r="V20" s="12" t="s">
        <v>1</v>
      </c>
      <c r="W20" s="12" t="s">
        <v>7</v>
      </c>
      <c r="X20" s="12" t="s">
        <v>14</v>
      </c>
      <c r="Y20" s="12" t="s">
        <v>14</v>
      </c>
      <c r="Z20" s="12" t="s">
        <v>5</v>
      </c>
      <c r="AA20" s="12" t="s">
        <v>4</v>
      </c>
      <c r="AB20" s="12" t="s">
        <v>6</v>
      </c>
      <c r="AC20" s="12" t="s">
        <v>6</v>
      </c>
      <c r="AD20" s="12" t="s">
        <v>20</v>
      </c>
      <c r="AE20" s="12" t="s">
        <v>7</v>
      </c>
      <c r="AF20" s="12" t="s">
        <v>10</v>
      </c>
      <c r="AG20" s="12" t="s">
        <v>18</v>
      </c>
      <c r="AH20" s="12" t="s">
        <v>18</v>
      </c>
      <c r="AI20" s="12">
        <v>1</v>
      </c>
      <c r="AJ20" s="12">
        <v>9</v>
      </c>
      <c r="AK20" s="12" t="s">
        <v>19</v>
      </c>
      <c r="AL20" s="12" t="b">
        <v>1</v>
      </c>
    </row>
    <row r="21" spans="10:38" x14ac:dyDescent="0.45">
      <c r="J21" s="12" t="s">
        <v>17</v>
      </c>
      <c r="K21" s="12" t="s">
        <v>2</v>
      </c>
      <c r="L21" s="12" t="s">
        <v>11</v>
      </c>
      <c r="M21" s="12" t="s">
        <v>0</v>
      </c>
      <c r="N21" s="12" t="s">
        <v>2</v>
      </c>
      <c r="O21" s="12" t="s">
        <v>9</v>
      </c>
      <c r="P21" s="12" t="s">
        <v>9</v>
      </c>
      <c r="Q21" s="12" t="s">
        <v>20</v>
      </c>
      <c r="R21" s="12" t="s">
        <v>16</v>
      </c>
      <c r="S21" s="12" t="s">
        <v>2</v>
      </c>
      <c r="T21" s="12" t="s">
        <v>1</v>
      </c>
      <c r="U21" s="12" t="s">
        <v>1</v>
      </c>
      <c r="V21" s="12" t="s">
        <v>1</v>
      </c>
      <c r="W21" s="12" t="s">
        <v>3</v>
      </c>
      <c r="X21" s="12" t="s">
        <v>7</v>
      </c>
      <c r="Y21" s="12" t="s">
        <v>6</v>
      </c>
      <c r="Z21" s="12" t="s">
        <v>14</v>
      </c>
      <c r="AA21" s="12" t="s">
        <v>2</v>
      </c>
      <c r="AB21" s="12" t="s">
        <v>9</v>
      </c>
      <c r="AC21" s="12" t="s">
        <v>9</v>
      </c>
      <c r="AD21" s="12" t="s">
        <v>10</v>
      </c>
      <c r="AE21" s="12" t="s">
        <v>12</v>
      </c>
      <c r="AF21" s="12" t="s">
        <v>7</v>
      </c>
      <c r="AG21" s="12" t="s">
        <v>3</v>
      </c>
      <c r="AH21" s="12" t="s">
        <v>18</v>
      </c>
      <c r="AI21" s="12">
        <v>1</v>
      </c>
      <c r="AJ21" s="12">
        <v>9</v>
      </c>
      <c r="AK21" s="12" t="s">
        <v>16</v>
      </c>
      <c r="AL21" s="12" t="b">
        <v>1</v>
      </c>
    </row>
    <row r="22" spans="10:38" x14ac:dyDescent="0.45">
      <c r="J22" s="12" t="s">
        <v>8</v>
      </c>
      <c r="K22" s="12" t="s">
        <v>14</v>
      </c>
      <c r="L22" s="12" t="s">
        <v>0</v>
      </c>
      <c r="M22" s="12" t="s">
        <v>7</v>
      </c>
      <c r="N22" s="12" t="s">
        <v>0</v>
      </c>
      <c r="O22" s="12" t="s">
        <v>0</v>
      </c>
      <c r="P22" s="12" t="s">
        <v>18</v>
      </c>
      <c r="Q22" s="12" t="s">
        <v>4</v>
      </c>
      <c r="R22" s="12" t="s">
        <v>21</v>
      </c>
      <c r="S22" s="12" t="s">
        <v>1</v>
      </c>
      <c r="T22" s="12" t="s">
        <v>1</v>
      </c>
      <c r="U22" s="12" t="s">
        <v>9</v>
      </c>
      <c r="V22" s="12" t="s">
        <v>17</v>
      </c>
      <c r="W22" s="12" t="s">
        <v>3</v>
      </c>
      <c r="X22" s="12" t="s">
        <v>22</v>
      </c>
      <c r="Y22" s="12" t="s">
        <v>3</v>
      </c>
      <c r="Z22" s="12" t="s">
        <v>5</v>
      </c>
      <c r="AA22" s="12" t="s">
        <v>4</v>
      </c>
      <c r="AB22" s="12" t="s">
        <v>9</v>
      </c>
      <c r="AC22" s="12" t="s">
        <v>17</v>
      </c>
      <c r="AD22" s="12" t="s">
        <v>7</v>
      </c>
      <c r="AE22" s="12" t="s">
        <v>7</v>
      </c>
      <c r="AF22" s="12" t="s">
        <v>8</v>
      </c>
      <c r="AG22" s="12" t="s">
        <v>6</v>
      </c>
      <c r="AH22" s="12" t="s">
        <v>3</v>
      </c>
      <c r="AI22" s="12">
        <v>1</v>
      </c>
      <c r="AJ22" s="12">
        <v>9</v>
      </c>
      <c r="AK22" s="12" t="s">
        <v>21</v>
      </c>
      <c r="AL22" s="12" t="b">
        <v>1</v>
      </c>
    </row>
    <row r="23" spans="10:38" x14ac:dyDescent="0.45">
      <c r="J23" s="12" t="s">
        <v>7</v>
      </c>
      <c r="K23" s="12" t="s">
        <v>2</v>
      </c>
      <c r="L23" s="12" t="s">
        <v>11</v>
      </c>
      <c r="M23" s="12" t="s">
        <v>4</v>
      </c>
      <c r="N23" s="12" t="s">
        <v>2</v>
      </c>
      <c r="O23" s="12" t="s">
        <v>9</v>
      </c>
      <c r="P23" s="12" t="s">
        <v>9</v>
      </c>
      <c r="Q23" s="12" t="s">
        <v>4</v>
      </c>
      <c r="R23" s="12" t="s">
        <v>21</v>
      </c>
      <c r="S23" s="12" t="s">
        <v>6</v>
      </c>
      <c r="T23" s="12" t="s">
        <v>9</v>
      </c>
      <c r="U23" s="12" t="s">
        <v>1</v>
      </c>
      <c r="V23" s="12" t="s">
        <v>10</v>
      </c>
      <c r="W23" s="12" t="s">
        <v>3</v>
      </c>
      <c r="X23" s="12" t="s">
        <v>5</v>
      </c>
      <c r="Y23" s="12" t="s">
        <v>6</v>
      </c>
      <c r="Z23" s="12" t="s">
        <v>14</v>
      </c>
      <c r="AA23" s="12" t="s">
        <v>2</v>
      </c>
      <c r="AB23" s="12" t="s">
        <v>6</v>
      </c>
      <c r="AC23" s="12" t="s">
        <v>17</v>
      </c>
      <c r="AD23" s="12" t="s">
        <v>7</v>
      </c>
      <c r="AE23" s="12" t="s">
        <v>25</v>
      </c>
      <c r="AF23" s="12" t="s">
        <v>7</v>
      </c>
      <c r="AG23" s="12" t="s">
        <v>6</v>
      </c>
      <c r="AH23" s="12" t="s">
        <v>3</v>
      </c>
      <c r="AI23" s="12">
        <v>1</v>
      </c>
      <c r="AJ23" s="12">
        <v>9</v>
      </c>
      <c r="AK23" s="12" t="s">
        <v>21</v>
      </c>
      <c r="AL23" s="12" t="b">
        <v>1</v>
      </c>
    </row>
    <row r="24" spans="10:38" x14ac:dyDescent="0.45">
      <c r="J24" s="12" t="s">
        <v>20</v>
      </c>
      <c r="K24" s="12" t="s">
        <v>14</v>
      </c>
      <c r="L24" s="12" t="s">
        <v>11</v>
      </c>
      <c r="M24" s="12" t="s">
        <v>0</v>
      </c>
      <c r="N24" s="12" t="s">
        <v>9</v>
      </c>
      <c r="O24" s="12" t="s">
        <v>9</v>
      </c>
      <c r="P24" s="12" t="s">
        <v>9</v>
      </c>
      <c r="Q24" s="12" t="s">
        <v>20</v>
      </c>
      <c r="R24" s="12" t="s">
        <v>16</v>
      </c>
      <c r="S24" s="12" t="s">
        <v>2</v>
      </c>
      <c r="T24" s="12" t="s">
        <v>9</v>
      </c>
      <c r="U24" s="12" t="s">
        <v>22</v>
      </c>
      <c r="V24" s="12" t="s">
        <v>10</v>
      </c>
      <c r="W24" s="12" t="s">
        <v>5</v>
      </c>
      <c r="X24" s="12" t="s">
        <v>14</v>
      </c>
      <c r="Y24" s="12" t="s">
        <v>5</v>
      </c>
      <c r="Z24" s="12" t="s">
        <v>5</v>
      </c>
      <c r="AA24" s="12" t="s">
        <v>9</v>
      </c>
      <c r="AB24" s="12" t="s">
        <v>3</v>
      </c>
      <c r="AC24" s="12" t="s">
        <v>17</v>
      </c>
      <c r="AD24" s="12" t="s">
        <v>20</v>
      </c>
      <c r="AE24" s="12" t="s">
        <v>15</v>
      </c>
      <c r="AF24" s="12" t="s">
        <v>8</v>
      </c>
      <c r="AG24" s="12" t="s">
        <v>6</v>
      </c>
      <c r="AH24" s="12" t="s">
        <v>3</v>
      </c>
      <c r="AI24" s="12">
        <v>1</v>
      </c>
      <c r="AJ24" s="12">
        <v>9</v>
      </c>
      <c r="AK24" s="12" t="s">
        <v>16</v>
      </c>
      <c r="AL24" s="12" t="b">
        <v>1</v>
      </c>
    </row>
    <row r="25" spans="10:38" x14ac:dyDescent="0.45">
      <c r="J25" s="12" t="s">
        <v>20</v>
      </c>
      <c r="K25" s="12" t="s">
        <v>2</v>
      </c>
      <c r="L25" s="12" t="s">
        <v>0</v>
      </c>
      <c r="M25" s="12" t="s">
        <v>20</v>
      </c>
      <c r="N25" s="12" t="s">
        <v>2</v>
      </c>
      <c r="O25" s="12" t="s">
        <v>9</v>
      </c>
      <c r="P25" s="12" t="s">
        <v>11</v>
      </c>
      <c r="Q25" s="12" t="s">
        <v>0</v>
      </c>
      <c r="R25" s="12" t="s">
        <v>21</v>
      </c>
      <c r="S25" s="12" t="s">
        <v>6</v>
      </c>
      <c r="T25" s="12" t="s">
        <v>22</v>
      </c>
      <c r="U25" s="12" t="s">
        <v>1</v>
      </c>
      <c r="V25" s="12" t="s">
        <v>4</v>
      </c>
      <c r="W25" s="12" t="s">
        <v>22</v>
      </c>
      <c r="X25" s="12" t="s">
        <v>3</v>
      </c>
      <c r="Y25" s="12" t="s">
        <v>14</v>
      </c>
      <c r="Z25" s="12" t="s">
        <v>14</v>
      </c>
      <c r="AA25" s="12" t="s">
        <v>9</v>
      </c>
      <c r="AB25" s="12" t="s">
        <v>11</v>
      </c>
      <c r="AC25" s="12" t="s">
        <v>17</v>
      </c>
      <c r="AD25" s="12" t="s">
        <v>7</v>
      </c>
      <c r="AE25" s="12" t="s">
        <v>15</v>
      </c>
      <c r="AF25" s="12" t="s">
        <v>8</v>
      </c>
      <c r="AG25" s="12" t="s">
        <v>3</v>
      </c>
      <c r="AH25" s="12" t="s">
        <v>3</v>
      </c>
      <c r="AI25" s="12">
        <v>1</v>
      </c>
      <c r="AJ25" s="12">
        <v>9</v>
      </c>
      <c r="AK25" s="12" t="s">
        <v>21</v>
      </c>
      <c r="AL25" s="12" t="b">
        <v>1</v>
      </c>
    </row>
    <row r="26" spans="10:38" x14ac:dyDescent="0.45">
      <c r="J26" s="12" t="s">
        <v>20</v>
      </c>
      <c r="K26" s="12" t="s">
        <v>2</v>
      </c>
      <c r="L26" s="12" t="s">
        <v>0</v>
      </c>
      <c r="M26" s="12" t="s">
        <v>20</v>
      </c>
      <c r="N26" s="12" t="s">
        <v>2</v>
      </c>
      <c r="O26" s="12" t="s">
        <v>9</v>
      </c>
      <c r="P26" s="12" t="s">
        <v>0</v>
      </c>
      <c r="Q26" s="12" t="s">
        <v>7</v>
      </c>
      <c r="R26" s="12" t="s">
        <v>23</v>
      </c>
      <c r="S26" s="12" t="s">
        <v>9</v>
      </c>
      <c r="T26" s="12" t="s">
        <v>22</v>
      </c>
      <c r="U26" s="12" t="s">
        <v>17</v>
      </c>
      <c r="V26" s="12" t="s">
        <v>10</v>
      </c>
      <c r="W26" s="12" t="s">
        <v>14</v>
      </c>
      <c r="X26" s="12" t="s">
        <v>5</v>
      </c>
      <c r="Y26" s="12" t="s">
        <v>14</v>
      </c>
      <c r="Z26" s="12" t="s">
        <v>3</v>
      </c>
      <c r="AA26" s="12" t="s">
        <v>9</v>
      </c>
      <c r="AB26" s="12" t="s">
        <v>9</v>
      </c>
      <c r="AC26" s="12" t="s">
        <v>17</v>
      </c>
      <c r="AD26" s="12" t="s">
        <v>17</v>
      </c>
      <c r="AE26" s="12" t="s">
        <v>3</v>
      </c>
      <c r="AF26" s="12" t="s">
        <v>17</v>
      </c>
      <c r="AG26" s="12" t="s">
        <v>3</v>
      </c>
      <c r="AH26" s="12" t="s">
        <v>3</v>
      </c>
      <c r="AI26" s="12">
        <v>1</v>
      </c>
      <c r="AJ26" s="12">
        <v>9</v>
      </c>
      <c r="AK26" s="12" t="s">
        <v>23</v>
      </c>
      <c r="AL26" s="12" t="b">
        <v>1</v>
      </c>
    </row>
    <row r="27" spans="10:38" x14ac:dyDescent="0.45">
      <c r="J27" s="12" t="s">
        <v>8</v>
      </c>
      <c r="K27" s="12" t="s">
        <v>2</v>
      </c>
      <c r="L27" s="12" t="s">
        <v>9</v>
      </c>
      <c r="M27" s="12" t="s">
        <v>0</v>
      </c>
      <c r="N27" s="12" t="s">
        <v>2</v>
      </c>
      <c r="O27" s="12" t="s">
        <v>9</v>
      </c>
      <c r="P27" s="12" t="s">
        <v>9</v>
      </c>
      <c r="Q27" s="12" t="s">
        <v>17</v>
      </c>
      <c r="R27" s="12" t="s">
        <v>23</v>
      </c>
      <c r="S27" s="12" t="s">
        <v>1</v>
      </c>
      <c r="T27" s="12" t="s">
        <v>9</v>
      </c>
      <c r="U27" s="12" t="s">
        <v>1</v>
      </c>
      <c r="V27" s="12" t="s">
        <v>4</v>
      </c>
      <c r="W27" s="12" t="s">
        <v>22</v>
      </c>
      <c r="X27" s="12" t="s">
        <v>2</v>
      </c>
      <c r="Y27" s="12" t="s">
        <v>6</v>
      </c>
      <c r="Z27" s="12" t="s">
        <v>5</v>
      </c>
      <c r="AA27" s="12" t="s">
        <v>18</v>
      </c>
      <c r="AB27" s="12" t="s">
        <v>9</v>
      </c>
      <c r="AC27" s="12" t="s">
        <v>6</v>
      </c>
      <c r="AD27" s="12" t="s">
        <v>8</v>
      </c>
      <c r="AE27" s="12" t="s">
        <v>7</v>
      </c>
      <c r="AF27" s="12" t="s">
        <v>8</v>
      </c>
      <c r="AG27" s="12" t="s">
        <v>2</v>
      </c>
      <c r="AH27" s="12" t="s">
        <v>6</v>
      </c>
      <c r="AI27" s="12">
        <v>1</v>
      </c>
      <c r="AJ27" s="12">
        <v>9</v>
      </c>
      <c r="AK27" s="12" t="s">
        <v>23</v>
      </c>
      <c r="AL27" s="12" t="b">
        <v>1</v>
      </c>
    </row>
    <row r="28" spans="10:38" x14ac:dyDescent="0.45">
      <c r="J28" s="12" t="s">
        <v>20</v>
      </c>
      <c r="K28" s="12" t="s">
        <v>0</v>
      </c>
      <c r="L28" s="12" t="s">
        <v>9</v>
      </c>
      <c r="M28" s="12" t="s">
        <v>4</v>
      </c>
      <c r="N28" s="12" t="s">
        <v>15</v>
      </c>
      <c r="O28" s="12" t="s">
        <v>9</v>
      </c>
      <c r="P28" s="12" t="s">
        <v>9</v>
      </c>
      <c r="Q28" s="12" t="s">
        <v>20</v>
      </c>
      <c r="R28" s="12" t="s">
        <v>21</v>
      </c>
      <c r="S28" s="12" t="s">
        <v>4</v>
      </c>
      <c r="T28" s="12" t="s">
        <v>17</v>
      </c>
      <c r="U28" s="12" t="s">
        <v>1</v>
      </c>
      <c r="V28" s="12" t="s">
        <v>17</v>
      </c>
      <c r="W28" s="12" t="s">
        <v>2</v>
      </c>
      <c r="X28" s="12" t="s">
        <v>2</v>
      </c>
      <c r="Y28" s="12" t="s">
        <v>14</v>
      </c>
      <c r="Z28" s="12" t="s">
        <v>5</v>
      </c>
      <c r="AA28" s="12" t="s">
        <v>4</v>
      </c>
      <c r="AB28" s="12" t="s">
        <v>9</v>
      </c>
      <c r="AC28" s="12" t="s">
        <v>17</v>
      </c>
      <c r="AD28" s="12" t="s">
        <v>10</v>
      </c>
      <c r="AE28" s="12" t="s">
        <v>15</v>
      </c>
      <c r="AF28" s="12" t="s">
        <v>7</v>
      </c>
      <c r="AG28" s="12" t="s">
        <v>18</v>
      </c>
      <c r="AH28" s="12" t="s">
        <v>6</v>
      </c>
      <c r="AI28" s="12">
        <v>1</v>
      </c>
      <c r="AJ28" s="12">
        <v>9</v>
      </c>
      <c r="AK28" s="12" t="s">
        <v>21</v>
      </c>
      <c r="AL28" s="12" t="b">
        <v>1</v>
      </c>
    </row>
    <row r="29" spans="10:38" x14ac:dyDescent="0.45">
      <c r="J29" s="12" t="s">
        <v>7</v>
      </c>
      <c r="K29" s="12" t="s">
        <v>2</v>
      </c>
      <c r="L29" s="12" t="s">
        <v>9</v>
      </c>
      <c r="M29" s="12" t="s">
        <v>0</v>
      </c>
      <c r="N29" s="12" t="s">
        <v>15</v>
      </c>
      <c r="O29" s="12" t="s">
        <v>0</v>
      </c>
      <c r="P29" s="12" t="s">
        <v>9</v>
      </c>
      <c r="Q29" s="12" t="s">
        <v>0</v>
      </c>
      <c r="R29" s="12" t="s">
        <v>26</v>
      </c>
      <c r="S29" s="12" t="s">
        <v>2</v>
      </c>
      <c r="T29" s="12" t="s">
        <v>17</v>
      </c>
      <c r="U29" s="12" t="s">
        <v>9</v>
      </c>
      <c r="V29" s="12" t="s">
        <v>4</v>
      </c>
      <c r="W29" s="12" t="s">
        <v>5</v>
      </c>
      <c r="X29" s="12" t="s">
        <v>7</v>
      </c>
      <c r="Y29" s="12" t="s">
        <v>3</v>
      </c>
      <c r="Z29" s="12" t="s">
        <v>5</v>
      </c>
      <c r="AA29" s="12" t="s">
        <v>2</v>
      </c>
      <c r="AB29" s="12" t="s">
        <v>6</v>
      </c>
      <c r="AC29" s="12" t="s">
        <v>17</v>
      </c>
      <c r="AD29" s="12" t="s">
        <v>20</v>
      </c>
      <c r="AE29" s="12" t="s">
        <v>7</v>
      </c>
      <c r="AF29" s="12" t="s">
        <v>7</v>
      </c>
      <c r="AG29" s="12" t="s">
        <v>2</v>
      </c>
      <c r="AH29" s="12" t="s">
        <v>3</v>
      </c>
      <c r="AI29" s="12">
        <v>1</v>
      </c>
      <c r="AJ29" s="12">
        <v>9</v>
      </c>
      <c r="AK29" s="12" t="s">
        <v>26</v>
      </c>
      <c r="AL29" s="12" t="b">
        <v>1</v>
      </c>
    </row>
    <row r="30" spans="10:38" x14ac:dyDescent="0.45">
      <c r="J30" s="12" t="s">
        <v>8</v>
      </c>
      <c r="K30" s="12" t="s">
        <v>2</v>
      </c>
      <c r="L30" s="12" t="s">
        <v>9</v>
      </c>
      <c r="M30" s="12" t="s">
        <v>0</v>
      </c>
      <c r="N30" s="12" t="s">
        <v>2</v>
      </c>
      <c r="O30" s="12" t="s">
        <v>0</v>
      </c>
      <c r="P30" s="12" t="s">
        <v>0</v>
      </c>
      <c r="Q30" s="12" t="s">
        <v>20</v>
      </c>
      <c r="R30" s="12" t="s">
        <v>24</v>
      </c>
      <c r="S30" s="12" t="s">
        <v>1</v>
      </c>
      <c r="T30" s="12" t="s">
        <v>22</v>
      </c>
      <c r="U30" s="12" t="s">
        <v>9</v>
      </c>
      <c r="V30" s="12" t="s">
        <v>17</v>
      </c>
      <c r="W30" s="12" t="s">
        <v>14</v>
      </c>
      <c r="X30" s="12" t="s">
        <v>2</v>
      </c>
      <c r="Y30" s="12" t="s">
        <v>14</v>
      </c>
      <c r="Z30" s="12" t="s">
        <v>7</v>
      </c>
      <c r="AA30" s="12" t="s">
        <v>2</v>
      </c>
      <c r="AB30" s="12" t="s">
        <v>6</v>
      </c>
      <c r="AC30" s="12" t="s">
        <v>17</v>
      </c>
      <c r="AD30" s="12" t="s">
        <v>7</v>
      </c>
      <c r="AE30" s="12" t="s">
        <v>25</v>
      </c>
      <c r="AF30" s="12" t="s">
        <v>17</v>
      </c>
      <c r="AG30" s="12" t="s">
        <v>2</v>
      </c>
      <c r="AH30" s="12" t="s">
        <v>6</v>
      </c>
      <c r="AI30" s="12">
        <v>1</v>
      </c>
      <c r="AJ30" s="12">
        <v>9</v>
      </c>
      <c r="AK30" s="12" t="s">
        <v>24</v>
      </c>
      <c r="AL30" s="12" t="b">
        <v>1</v>
      </c>
    </row>
    <row r="31" spans="10:38" x14ac:dyDescent="0.45">
      <c r="J31" s="12" t="s">
        <v>17</v>
      </c>
      <c r="K31" s="12" t="s">
        <v>2</v>
      </c>
      <c r="L31" s="12" t="s">
        <v>11</v>
      </c>
      <c r="M31" s="12" t="s">
        <v>7</v>
      </c>
      <c r="N31" s="12" t="s">
        <v>9</v>
      </c>
      <c r="O31" s="12" t="s">
        <v>9</v>
      </c>
      <c r="P31" s="12" t="s">
        <v>0</v>
      </c>
      <c r="Q31" s="12" t="s">
        <v>0</v>
      </c>
      <c r="R31" s="12" t="s">
        <v>26</v>
      </c>
      <c r="S31" s="12" t="s">
        <v>2</v>
      </c>
      <c r="T31" s="12" t="s">
        <v>9</v>
      </c>
      <c r="U31" s="12" t="s">
        <v>1</v>
      </c>
      <c r="V31" s="12" t="s">
        <v>6</v>
      </c>
      <c r="W31" s="12" t="s">
        <v>14</v>
      </c>
      <c r="X31" s="12" t="s">
        <v>3</v>
      </c>
      <c r="Y31" s="12" t="s">
        <v>14</v>
      </c>
      <c r="Z31" s="12" t="s">
        <v>22</v>
      </c>
      <c r="AA31" s="12" t="s">
        <v>4</v>
      </c>
      <c r="AB31" s="12" t="s">
        <v>6</v>
      </c>
      <c r="AC31" s="12" t="s">
        <v>17</v>
      </c>
      <c r="AD31" s="12" t="s">
        <v>10</v>
      </c>
      <c r="AE31" s="12" t="s">
        <v>7</v>
      </c>
      <c r="AF31" s="12" t="s">
        <v>7</v>
      </c>
      <c r="AG31" s="12" t="s">
        <v>18</v>
      </c>
      <c r="AH31" s="12" t="s">
        <v>6</v>
      </c>
      <c r="AI31" s="12">
        <v>1</v>
      </c>
      <c r="AJ31" s="12">
        <v>9</v>
      </c>
      <c r="AK31" s="12" t="s">
        <v>26</v>
      </c>
      <c r="AL31" s="12" t="b">
        <v>1</v>
      </c>
    </row>
    <row r="32" spans="10:38" x14ac:dyDescent="0.45">
      <c r="J32" s="12" t="s">
        <v>7</v>
      </c>
      <c r="K32" s="12" t="s">
        <v>2</v>
      </c>
      <c r="L32" s="12" t="s">
        <v>9</v>
      </c>
      <c r="M32" s="12" t="s">
        <v>0</v>
      </c>
      <c r="N32" s="12" t="s">
        <v>0</v>
      </c>
      <c r="O32" s="12" t="s">
        <v>9</v>
      </c>
      <c r="P32" s="12" t="s">
        <v>9</v>
      </c>
      <c r="Q32" s="12" t="s">
        <v>7</v>
      </c>
      <c r="R32" s="12" t="s">
        <v>23</v>
      </c>
      <c r="S32" s="12" t="s">
        <v>9</v>
      </c>
      <c r="T32" s="12" t="s">
        <v>10</v>
      </c>
      <c r="U32" s="12" t="s">
        <v>22</v>
      </c>
      <c r="V32" s="12" t="s">
        <v>17</v>
      </c>
      <c r="W32" s="12" t="s">
        <v>22</v>
      </c>
      <c r="X32" s="12" t="s">
        <v>5</v>
      </c>
      <c r="Y32" s="12" t="s">
        <v>6</v>
      </c>
      <c r="Z32" s="12" t="s">
        <v>22</v>
      </c>
      <c r="AA32" s="12" t="s">
        <v>4</v>
      </c>
      <c r="AB32" s="12" t="s">
        <v>6</v>
      </c>
      <c r="AC32" s="12" t="s">
        <v>17</v>
      </c>
      <c r="AD32" s="12" t="s">
        <v>8</v>
      </c>
      <c r="AE32" s="12" t="s">
        <v>3</v>
      </c>
      <c r="AF32" s="12" t="s">
        <v>8</v>
      </c>
      <c r="AG32" s="12" t="s">
        <v>12</v>
      </c>
      <c r="AH32" s="12" t="s">
        <v>6</v>
      </c>
      <c r="AI32" s="12">
        <v>1</v>
      </c>
      <c r="AJ32" s="12">
        <v>9</v>
      </c>
      <c r="AK32" s="12" t="s">
        <v>23</v>
      </c>
      <c r="AL32" s="12" t="b">
        <v>1</v>
      </c>
    </row>
    <row r="33" spans="10:38" x14ac:dyDescent="0.45">
      <c r="J33" s="12" t="s">
        <v>0</v>
      </c>
      <c r="K33" s="12" t="s">
        <v>14</v>
      </c>
      <c r="L33" s="12" t="s">
        <v>11</v>
      </c>
      <c r="M33" s="12" t="s">
        <v>0</v>
      </c>
      <c r="N33" s="12" t="s">
        <v>0</v>
      </c>
      <c r="O33" s="12" t="s">
        <v>9</v>
      </c>
      <c r="P33" s="12" t="s">
        <v>0</v>
      </c>
      <c r="Q33" s="12" t="s">
        <v>17</v>
      </c>
      <c r="R33" s="12" t="s">
        <v>26</v>
      </c>
      <c r="S33" s="12" t="s">
        <v>9</v>
      </c>
      <c r="T33" s="12" t="s">
        <v>22</v>
      </c>
      <c r="U33" s="12" t="s">
        <v>6</v>
      </c>
      <c r="V33" s="12" t="s">
        <v>6</v>
      </c>
      <c r="W33" s="12" t="s">
        <v>22</v>
      </c>
      <c r="X33" s="12" t="s">
        <v>5</v>
      </c>
      <c r="Y33" s="12" t="s">
        <v>2</v>
      </c>
      <c r="Z33" s="12" t="s">
        <v>3</v>
      </c>
      <c r="AA33" s="12" t="s">
        <v>4</v>
      </c>
      <c r="AB33" s="12" t="s">
        <v>9</v>
      </c>
      <c r="AC33" s="12" t="s">
        <v>17</v>
      </c>
      <c r="AD33" s="12" t="s">
        <v>8</v>
      </c>
      <c r="AE33" s="12" t="s">
        <v>3</v>
      </c>
      <c r="AF33" s="12" t="s">
        <v>10</v>
      </c>
      <c r="AG33" s="12" t="s">
        <v>3</v>
      </c>
      <c r="AH33" s="12" t="s">
        <v>3</v>
      </c>
      <c r="AI33" s="12">
        <v>1</v>
      </c>
      <c r="AJ33" s="12">
        <v>9</v>
      </c>
      <c r="AK33" s="12" t="s">
        <v>26</v>
      </c>
      <c r="AL33" s="12" t="b">
        <v>1</v>
      </c>
    </row>
    <row r="34" spans="10:38" x14ac:dyDescent="0.45">
      <c r="J34" s="12" t="s">
        <v>8</v>
      </c>
      <c r="K34" s="12" t="s">
        <v>2</v>
      </c>
      <c r="L34" s="12" t="s">
        <v>11</v>
      </c>
      <c r="M34" s="12" t="s">
        <v>7</v>
      </c>
      <c r="N34" s="12" t="s">
        <v>2</v>
      </c>
      <c r="O34" s="12" t="s">
        <v>9</v>
      </c>
      <c r="P34" s="12" t="s">
        <v>15</v>
      </c>
      <c r="Q34" s="12" t="s">
        <v>17</v>
      </c>
      <c r="R34" s="12" t="s">
        <v>24</v>
      </c>
      <c r="S34" s="12" t="s">
        <v>9</v>
      </c>
      <c r="T34" s="12" t="s">
        <v>17</v>
      </c>
      <c r="U34" s="12" t="s">
        <v>17</v>
      </c>
      <c r="V34" s="12" t="s">
        <v>10</v>
      </c>
      <c r="W34" s="12" t="s">
        <v>2</v>
      </c>
      <c r="X34" s="12" t="s">
        <v>22</v>
      </c>
      <c r="Y34" s="12" t="s">
        <v>3</v>
      </c>
      <c r="Z34" s="12" t="s">
        <v>5</v>
      </c>
      <c r="AA34" s="12" t="s">
        <v>18</v>
      </c>
      <c r="AB34" s="12" t="s">
        <v>6</v>
      </c>
      <c r="AC34" s="12" t="s">
        <v>17</v>
      </c>
      <c r="AD34" s="12" t="s">
        <v>10</v>
      </c>
      <c r="AE34" s="12" t="s">
        <v>7</v>
      </c>
      <c r="AF34" s="12" t="s">
        <v>7</v>
      </c>
      <c r="AG34" s="12" t="s">
        <v>3</v>
      </c>
      <c r="AH34" s="12" t="s">
        <v>6</v>
      </c>
      <c r="AI34" s="12">
        <v>1</v>
      </c>
      <c r="AJ34" s="12">
        <v>9</v>
      </c>
      <c r="AK34" s="12" t="s">
        <v>24</v>
      </c>
      <c r="AL34" s="12" t="b">
        <v>1</v>
      </c>
    </row>
    <row r="35" spans="10:38" x14ac:dyDescent="0.45">
      <c r="J35" s="12" t="s">
        <v>7</v>
      </c>
      <c r="K35" s="12" t="s">
        <v>9</v>
      </c>
      <c r="L35" s="12" t="s">
        <v>9</v>
      </c>
      <c r="M35" s="12" t="s">
        <v>0</v>
      </c>
      <c r="N35" s="12" t="s">
        <v>2</v>
      </c>
      <c r="O35" s="12" t="s">
        <v>9</v>
      </c>
      <c r="P35" s="12" t="s">
        <v>15</v>
      </c>
      <c r="Q35" s="12" t="s">
        <v>4</v>
      </c>
      <c r="R35" s="12" t="s">
        <v>16</v>
      </c>
      <c r="S35" s="12" t="s">
        <v>4</v>
      </c>
      <c r="T35" s="12" t="s">
        <v>1</v>
      </c>
      <c r="U35" s="12" t="s">
        <v>22</v>
      </c>
      <c r="V35" s="12" t="s">
        <v>4</v>
      </c>
      <c r="W35" s="12" t="s">
        <v>22</v>
      </c>
      <c r="X35" s="12" t="s">
        <v>7</v>
      </c>
      <c r="Y35" s="12" t="s">
        <v>14</v>
      </c>
      <c r="Z35" s="12" t="s">
        <v>3</v>
      </c>
      <c r="AA35" s="12" t="s">
        <v>2</v>
      </c>
      <c r="AB35" s="12" t="s">
        <v>6</v>
      </c>
      <c r="AC35" s="12" t="s">
        <v>17</v>
      </c>
      <c r="AD35" s="12" t="s">
        <v>8</v>
      </c>
      <c r="AE35" s="12" t="s">
        <v>7</v>
      </c>
      <c r="AF35" s="12" t="s">
        <v>10</v>
      </c>
      <c r="AG35" s="12" t="s">
        <v>3</v>
      </c>
      <c r="AH35" s="12" t="s">
        <v>3</v>
      </c>
      <c r="AI35" s="12">
        <v>1</v>
      </c>
      <c r="AJ35" s="12">
        <v>9</v>
      </c>
      <c r="AK35" s="12" t="s">
        <v>16</v>
      </c>
      <c r="AL35" s="12" t="b">
        <v>1</v>
      </c>
    </row>
    <row r="36" spans="10:38" x14ac:dyDescent="0.45">
      <c r="J36" s="12" t="s">
        <v>4</v>
      </c>
      <c r="K36" s="12" t="s">
        <v>2</v>
      </c>
      <c r="L36" s="12" t="s">
        <v>9</v>
      </c>
      <c r="M36" s="12" t="s">
        <v>0</v>
      </c>
      <c r="N36" s="12" t="s">
        <v>15</v>
      </c>
      <c r="O36" s="12" t="s">
        <v>9</v>
      </c>
      <c r="P36" s="12" t="s">
        <v>15</v>
      </c>
      <c r="Q36" s="12" t="s">
        <v>4</v>
      </c>
      <c r="R36" s="12" t="s">
        <v>16</v>
      </c>
      <c r="S36" s="12" t="s">
        <v>4</v>
      </c>
      <c r="T36" s="12" t="s">
        <v>1</v>
      </c>
      <c r="U36" s="12" t="s">
        <v>9</v>
      </c>
      <c r="V36" s="12" t="s">
        <v>17</v>
      </c>
      <c r="W36" s="12" t="s">
        <v>7</v>
      </c>
      <c r="X36" s="12" t="s">
        <v>3</v>
      </c>
      <c r="Y36" s="12" t="s">
        <v>2</v>
      </c>
      <c r="Z36" s="12" t="s">
        <v>3</v>
      </c>
      <c r="AA36" s="12" t="s">
        <v>4</v>
      </c>
      <c r="AB36" s="12" t="s">
        <v>6</v>
      </c>
      <c r="AC36" s="12" t="s">
        <v>17</v>
      </c>
      <c r="AD36" s="12" t="s">
        <v>17</v>
      </c>
      <c r="AE36" s="12" t="s">
        <v>7</v>
      </c>
      <c r="AF36" s="12" t="s">
        <v>17</v>
      </c>
      <c r="AG36" s="12" t="s">
        <v>3</v>
      </c>
      <c r="AH36" s="12" t="s">
        <v>3</v>
      </c>
      <c r="AI36" s="12">
        <v>1</v>
      </c>
      <c r="AJ36" s="12">
        <v>9</v>
      </c>
      <c r="AK36" s="12" t="s">
        <v>16</v>
      </c>
      <c r="AL36" s="12" t="b">
        <v>1</v>
      </c>
    </row>
    <row r="37" spans="10:38" x14ac:dyDescent="0.45">
      <c r="J37" s="12" t="s">
        <v>4</v>
      </c>
      <c r="K37" s="12" t="s">
        <v>2</v>
      </c>
      <c r="L37" s="12" t="s">
        <v>9</v>
      </c>
      <c r="M37" s="12" t="s">
        <v>20</v>
      </c>
      <c r="N37" s="12" t="s">
        <v>0</v>
      </c>
      <c r="O37" s="12" t="s">
        <v>9</v>
      </c>
      <c r="P37" s="12" t="s">
        <v>9</v>
      </c>
      <c r="Q37" s="12" t="s">
        <v>0</v>
      </c>
      <c r="R37" s="12" t="s">
        <v>23</v>
      </c>
      <c r="S37" s="12" t="s">
        <v>2</v>
      </c>
      <c r="T37" s="12" t="s">
        <v>10</v>
      </c>
      <c r="U37" s="12" t="s">
        <v>22</v>
      </c>
      <c r="V37" s="12" t="s">
        <v>17</v>
      </c>
      <c r="W37" s="12" t="s">
        <v>3</v>
      </c>
      <c r="X37" s="12" t="s">
        <v>3</v>
      </c>
      <c r="Y37" s="12" t="s">
        <v>5</v>
      </c>
      <c r="Z37" s="12" t="s">
        <v>5</v>
      </c>
      <c r="AA37" s="12" t="s">
        <v>2</v>
      </c>
      <c r="AB37" s="12" t="s">
        <v>6</v>
      </c>
      <c r="AC37" s="12" t="s">
        <v>17</v>
      </c>
      <c r="AD37" s="12" t="s">
        <v>4</v>
      </c>
      <c r="AE37" s="12" t="s">
        <v>15</v>
      </c>
      <c r="AF37" s="12" t="s">
        <v>7</v>
      </c>
      <c r="AG37" s="12" t="s">
        <v>2</v>
      </c>
      <c r="AH37" s="12" t="s">
        <v>3</v>
      </c>
      <c r="AI37" s="12">
        <v>1</v>
      </c>
      <c r="AJ37" s="12">
        <v>9</v>
      </c>
      <c r="AK37" s="12" t="s">
        <v>23</v>
      </c>
      <c r="AL37" s="12" t="b">
        <v>1</v>
      </c>
    </row>
    <row r="38" spans="10:38" x14ac:dyDescent="0.45">
      <c r="J38" s="12" t="s">
        <v>0</v>
      </c>
      <c r="K38" s="12" t="s">
        <v>0</v>
      </c>
      <c r="L38" s="12" t="s">
        <v>9</v>
      </c>
      <c r="M38" s="12" t="s">
        <v>0</v>
      </c>
      <c r="N38" s="12" t="s">
        <v>9</v>
      </c>
      <c r="O38" s="12" t="s">
        <v>9</v>
      </c>
      <c r="P38" s="12" t="s">
        <v>15</v>
      </c>
      <c r="Q38" s="12" t="s">
        <v>0</v>
      </c>
      <c r="R38" s="12" t="s">
        <v>21</v>
      </c>
      <c r="S38" s="12" t="s">
        <v>1</v>
      </c>
      <c r="T38" s="12" t="s">
        <v>22</v>
      </c>
      <c r="U38" s="12" t="s">
        <v>17</v>
      </c>
      <c r="V38" s="12" t="s">
        <v>10</v>
      </c>
      <c r="W38" s="12" t="s">
        <v>2</v>
      </c>
      <c r="X38" s="12" t="s">
        <v>7</v>
      </c>
      <c r="Y38" s="12" t="s">
        <v>14</v>
      </c>
      <c r="Z38" s="12" t="s">
        <v>5</v>
      </c>
      <c r="AA38" s="12" t="s">
        <v>2</v>
      </c>
      <c r="AB38" s="12" t="s">
        <v>6</v>
      </c>
      <c r="AC38" s="12" t="s">
        <v>6</v>
      </c>
      <c r="AD38" s="12" t="s">
        <v>4</v>
      </c>
      <c r="AE38" s="12" t="s">
        <v>3</v>
      </c>
      <c r="AF38" s="12" t="s">
        <v>7</v>
      </c>
      <c r="AG38" s="12" t="s">
        <v>12</v>
      </c>
      <c r="AH38" s="12" t="s">
        <v>3</v>
      </c>
      <c r="AI38" s="12">
        <v>1</v>
      </c>
      <c r="AJ38" s="12">
        <v>9</v>
      </c>
      <c r="AK38" s="12" t="s">
        <v>21</v>
      </c>
      <c r="AL38" s="12" t="b">
        <v>1</v>
      </c>
    </row>
    <row r="39" spans="10:38" x14ac:dyDescent="0.45">
      <c r="J39" s="12" t="s">
        <v>17</v>
      </c>
      <c r="K39" s="12" t="s">
        <v>2</v>
      </c>
      <c r="L39" s="12" t="s">
        <v>9</v>
      </c>
      <c r="M39" s="12" t="s">
        <v>0</v>
      </c>
      <c r="N39" s="12" t="s">
        <v>2</v>
      </c>
      <c r="O39" s="12" t="s">
        <v>9</v>
      </c>
      <c r="P39" s="12" t="s">
        <v>11</v>
      </c>
      <c r="Q39" s="12" t="s">
        <v>4</v>
      </c>
      <c r="R39" s="12" t="s">
        <v>26</v>
      </c>
      <c r="S39" s="12" t="s">
        <v>2</v>
      </c>
      <c r="T39" s="12" t="s">
        <v>22</v>
      </c>
      <c r="U39" s="12" t="s">
        <v>9</v>
      </c>
      <c r="V39" s="12" t="s">
        <v>17</v>
      </c>
      <c r="W39" s="12" t="s">
        <v>22</v>
      </c>
      <c r="X39" s="12" t="s">
        <v>2</v>
      </c>
      <c r="Y39" s="12" t="s">
        <v>3</v>
      </c>
      <c r="Z39" s="12" t="s">
        <v>22</v>
      </c>
      <c r="AA39" s="12" t="s">
        <v>4</v>
      </c>
      <c r="AB39" s="12" t="s">
        <v>6</v>
      </c>
      <c r="AC39" s="12" t="s">
        <v>17</v>
      </c>
      <c r="AD39" s="12" t="s">
        <v>20</v>
      </c>
      <c r="AE39" s="12" t="s">
        <v>12</v>
      </c>
      <c r="AF39" s="12" t="s">
        <v>7</v>
      </c>
      <c r="AG39" s="12" t="s">
        <v>3</v>
      </c>
      <c r="AH39" s="12" t="s">
        <v>6</v>
      </c>
      <c r="AI39" s="12">
        <v>1</v>
      </c>
      <c r="AJ39" s="12">
        <v>9</v>
      </c>
      <c r="AK39" s="12" t="s">
        <v>26</v>
      </c>
      <c r="AL39" s="12" t="b">
        <v>1</v>
      </c>
    </row>
    <row r="40" spans="10:38" x14ac:dyDescent="0.45">
      <c r="J40" s="12" t="s">
        <v>7</v>
      </c>
      <c r="K40" s="12" t="s">
        <v>14</v>
      </c>
      <c r="L40" s="12" t="s">
        <v>9</v>
      </c>
      <c r="M40" s="12" t="s">
        <v>20</v>
      </c>
      <c r="N40" s="12" t="s">
        <v>15</v>
      </c>
      <c r="O40" s="12" t="s">
        <v>0</v>
      </c>
      <c r="P40" s="12" t="s">
        <v>9</v>
      </c>
      <c r="Q40" s="12" t="s">
        <v>7</v>
      </c>
      <c r="R40" s="12" t="s">
        <v>26</v>
      </c>
      <c r="S40" s="12" t="s">
        <v>2</v>
      </c>
      <c r="T40" s="12" t="s">
        <v>6</v>
      </c>
      <c r="U40" s="12" t="s">
        <v>17</v>
      </c>
      <c r="V40" s="12" t="s">
        <v>9</v>
      </c>
      <c r="W40" s="12" t="s">
        <v>2</v>
      </c>
      <c r="X40" s="12" t="s">
        <v>5</v>
      </c>
      <c r="Y40" s="12" t="s">
        <v>14</v>
      </c>
      <c r="Z40" s="12" t="s">
        <v>7</v>
      </c>
      <c r="AA40" s="12" t="s">
        <v>4</v>
      </c>
      <c r="AB40" s="12" t="s">
        <v>6</v>
      </c>
      <c r="AC40" s="12" t="s">
        <v>17</v>
      </c>
      <c r="AD40" s="12" t="s">
        <v>4</v>
      </c>
      <c r="AE40" s="12" t="s">
        <v>7</v>
      </c>
      <c r="AF40" s="12" t="s">
        <v>8</v>
      </c>
      <c r="AG40" s="12" t="s">
        <v>3</v>
      </c>
      <c r="AH40" s="12" t="s">
        <v>6</v>
      </c>
      <c r="AI40" s="12">
        <v>1</v>
      </c>
      <c r="AJ40" s="12">
        <v>9</v>
      </c>
      <c r="AK40" s="12" t="s">
        <v>26</v>
      </c>
      <c r="AL40" s="12" t="b">
        <v>1</v>
      </c>
    </row>
    <row r="41" spans="10:38" x14ac:dyDescent="0.45">
      <c r="J41" s="12" t="s">
        <v>4</v>
      </c>
      <c r="K41" s="12" t="s">
        <v>2</v>
      </c>
      <c r="L41" s="12" t="s">
        <v>9</v>
      </c>
      <c r="M41" s="12" t="s">
        <v>0</v>
      </c>
      <c r="N41" s="12" t="s">
        <v>9</v>
      </c>
      <c r="O41" s="12" t="s">
        <v>9</v>
      </c>
      <c r="P41" s="12" t="s">
        <v>9</v>
      </c>
      <c r="Q41" s="12" t="s">
        <v>4</v>
      </c>
      <c r="R41" s="12" t="s">
        <v>24</v>
      </c>
      <c r="S41" s="12" t="s">
        <v>6</v>
      </c>
      <c r="T41" s="12" t="s">
        <v>17</v>
      </c>
      <c r="U41" s="12" t="s">
        <v>17</v>
      </c>
      <c r="V41" s="12" t="s">
        <v>1</v>
      </c>
      <c r="W41" s="12" t="s">
        <v>22</v>
      </c>
      <c r="X41" s="12" t="s">
        <v>2</v>
      </c>
      <c r="Y41" s="12" t="s">
        <v>3</v>
      </c>
      <c r="Z41" s="12" t="s">
        <v>5</v>
      </c>
      <c r="AA41" s="12" t="s">
        <v>9</v>
      </c>
      <c r="AB41" s="12" t="s">
        <v>6</v>
      </c>
      <c r="AC41" s="12" t="s">
        <v>17</v>
      </c>
      <c r="AD41" s="12" t="s">
        <v>8</v>
      </c>
      <c r="AE41" s="12" t="s">
        <v>3</v>
      </c>
      <c r="AF41" s="12" t="s">
        <v>7</v>
      </c>
      <c r="AG41" s="12" t="s">
        <v>18</v>
      </c>
      <c r="AH41" s="12" t="s">
        <v>6</v>
      </c>
      <c r="AI41" s="12">
        <v>1</v>
      </c>
      <c r="AJ41" s="12">
        <v>9</v>
      </c>
      <c r="AK41" s="12" t="s">
        <v>24</v>
      </c>
      <c r="AL41" s="12" t="b">
        <v>1</v>
      </c>
    </row>
    <row r="42" spans="10:38" x14ac:dyDescent="0.45">
      <c r="J42" s="12" t="s">
        <v>17</v>
      </c>
      <c r="K42" s="12" t="s">
        <v>2</v>
      </c>
      <c r="L42" s="12" t="s">
        <v>9</v>
      </c>
      <c r="M42" s="12" t="s">
        <v>4</v>
      </c>
      <c r="N42" s="12" t="s">
        <v>2</v>
      </c>
      <c r="O42" s="12" t="s">
        <v>9</v>
      </c>
      <c r="P42" s="12" t="s">
        <v>11</v>
      </c>
      <c r="Q42" s="12" t="s">
        <v>0</v>
      </c>
      <c r="R42" s="12" t="s">
        <v>23</v>
      </c>
      <c r="S42" s="12" t="s">
        <v>1</v>
      </c>
      <c r="T42" s="12" t="s">
        <v>1</v>
      </c>
      <c r="U42" s="12" t="s">
        <v>22</v>
      </c>
      <c r="V42" s="12" t="s">
        <v>10</v>
      </c>
      <c r="W42" s="12" t="s">
        <v>7</v>
      </c>
      <c r="X42" s="12" t="s">
        <v>3</v>
      </c>
      <c r="Y42" s="12" t="s">
        <v>2</v>
      </c>
      <c r="Z42" s="12" t="s">
        <v>7</v>
      </c>
      <c r="AA42" s="12" t="s">
        <v>18</v>
      </c>
      <c r="AB42" s="12" t="s">
        <v>6</v>
      </c>
      <c r="AC42" s="12" t="s">
        <v>17</v>
      </c>
      <c r="AD42" s="12" t="s">
        <v>17</v>
      </c>
      <c r="AE42" s="12" t="s">
        <v>12</v>
      </c>
      <c r="AF42" s="12" t="s">
        <v>7</v>
      </c>
      <c r="AG42" s="12" t="s">
        <v>18</v>
      </c>
      <c r="AH42" s="12" t="s">
        <v>3</v>
      </c>
      <c r="AI42" s="12">
        <v>1</v>
      </c>
      <c r="AJ42" s="12">
        <v>9</v>
      </c>
      <c r="AK42" s="12" t="s">
        <v>23</v>
      </c>
      <c r="AL42" s="12" t="b">
        <v>1</v>
      </c>
    </row>
    <row r="43" spans="10:38" x14ac:dyDescent="0.45">
      <c r="J43" s="12" t="s">
        <v>7</v>
      </c>
      <c r="K43" s="12" t="s">
        <v>0</v>
      </c>
      <c r="L43" s="12" t="s">
        <v>9</v>
      </c>
      <c r="M43" s="12" t="s">
        <v>0</v>
      </c>
      <c r="N43" s="12" t="s">
        <v>0</v>
      </c>
      <c r="O43" s="12" t="s">
        <v>9</v>
      </c>
      <c r="P43" s="12" t="s">
        <v>0</v>
      </c>
      <c r="Q43" s="12" t="s">
        <v>20</v>
      </c>
      <c r="R43" s="12" t="s">
        <v>24</v>
      </c>
      <c r="S43" s="12" t="s">
        <v>2</v>
      </c>
      <c r="T43" s="12" t="s">
        <v>9</v>
      </c>
      <c r="U43" s="12" t="s">
        <v>22</v>
      </c>
      <c r="V43" s="12" t="s">
        <v>9</v>
      </c>
      <c r="W43" s="12" t="s">
        <v>3</v>
      </c>
      <c r="X43" s="12" t="s">
        <v>2</v>
      </c>
      <c r="Y43" s="12" t="s">
        <v>2</v>
      </c>
      <c r="Z43" s="12" t="s">
        <v>22</v>
      </c>
      <c r="AA43" s="12" t="s">
        <v>9</v>
      </c>
      <c r="AB43" s="12" t="s">
        <v>9</v>
      </c>
      <c r="AC43" s="12" t="s">
        <v>17</v>
      </c>
      <c r="AD43" s="12" t="s">
        <v>10</v>
      </c>
      <c r="AE43" s="12" t="s">
        <v>7</v>
      </c>
      <c r="AF43" s="12" t="s">
        <v>8</v>
      </c>
      <c r="AG43" s="12" t="s">
        <v>18</v>
      </c>
      <c r="AH43" s="12" t="s">
        <v>3</v>
      </c>
      <c r="AI43" s="12">
        <v>1</v>
      </c>
      <c r="AJ43" s="12">
        <v>9</v>
      </c>
      <c r="AK43" s="12" t="s">
        <v>24</v>
      </c>
      <c r="AL43" s="12" t="b">
        <v>1</v>
      </c>
    </row>
    <row r="44" spans="10:38" x14ac:dyDescent="0.45">
      <c r="J44" s="12" t="s">
        <v>8</v>
      </c>
      <c r="K44" s="12" t="s">
        <v>14</v>
      </c>
      <c r="L44" s="12" t="s">
        <v>9</v>
      </c>
      <c r="M44" s="12" t="s">
        <v>4</v>
      </c>
      <c r="N44" s="12" t="s">
        <v>0</v>
      </c>
      <c r="O44" s="12" t="s">
        <v>9</v>
      </c>
      <c r="P44" s="12" t="s">
        <v>9</v>
      </c>
      <c r="Q44" s="12" t="s">
        <v>0</v>
      </c>
      <c r="R44" s="12" t="s">
        <v>16</v>
      </c>
      <c r="S44" s="12" t="s">
        <v>1</v>
      </c>
      <c r="T44" s="12" t="s">
        <v>17</v>
      </c>
      <c r="U44" s="12" t="s">
        <v>6</v>
      </c>
      <c r="V44" s="12" t="s">
        <v>6</v>
      </c>
      <c r="W44" s="12" t="s">
        <v>7</v>
      </c>
      <c r="X44" s="12" t="s">
        <v>2</v>
      </c>
      <c r="Y44" s="12" t="s">
        <v>6</v>
      </c>
      <c r="Z44" s="12" t="s">
        <v>7</v>
      </c>
      <c r="AA44" s="12" t="s">
        <v>9</v>
      </c>
      <c r="AB44" s="12" t="s">
        <v>9</v>
      </c>
      <c r="AC44" s="12" t="s">
        <v>6</v>
      </c>
      <c r="AD44" s="12" t="s">
        <v>8</v>
      </c>
      <c r="AE44" s="12" t="s">
        <v>7</v>
      </c>
      <c r="AF44" s="12" t="s">
        <v>8</v>
      </c>
      <c r="AG44" s="12" t="s">
        <v>3</v>
      </c>
      <c r="AH44" s="12" t="s">
        <v>3</v>
      </c>
      <c r="AI44" s="12">
        <v>1</v>
      </c>
      <c r="AJ44" s="12">
        <v>9</v>
      </c>
      <c r="AK44" s="12" t="s">
        <v>16</v>
      </c>
      <c r="AL44" s="12" t="b">
        <v>1</v>
      </c>
    </row>
    <row r="45" spans="10:38" x14ac:dyDescent="0.45">
      <c r="J45" s="12" t="s">
        <v>8</v>
      </c>
      <c r="K45" s="12" t="s">
        <v>2</v>
      </c>
      <c r="L45" s="12" t="s">
        <v>0</v>
      </c>
      <c r="M45" s="12" t="s">
        <v>4</v>
      </c>
      <c r="N45" s="12" t="s">
        <v>11</v>
      </c>
      <c r="O45" s="12" t="s">
        <v>0</v>
      </c>
      <c r="P45" s="12" t="s">
        <v>0</v>
      </c>
      <c r="Q45" s="12" t="s">
        <v>7</v>
      </c>
      <c r="R45" s="12" t="s">
        <v>21</v>
      </c>
      <c r="S45" s="12" t="s">
        <v>2</v>
      </c>
      <c r="T45" s="12" t="s">
        <v>9</v>
      </c>
      <c r="U45" s="12" t="s">
        <v>6</v>
      </c>
      <c r="V45" s="12" t="s">
        <v>1</v>
      </c>
      <c r="W45" s="12" t="s">
        <v>5</v>
      </c>
      <c r="X45" s="12" t="s">
        <v>2</v>
      </c>
      <c r="Y45" s="12" t="s">
        <v>14</v>
      </c>
      <c r="Z45" s="12" t="s">
        <v>22</v>
      </c>
      <c r="AA45" s="12" t="s">
        <v>4</v>
      </c>
      <c r="AB45" s="12" t="s">
        <v>3</v>
      </c>
      <c r="AC45" s="12" t="s">
        <v>6</v>
      </c>
      <c r="AD45" s="12" t="s">
        <v>10</v>
      </c>
      <c r="AE45" s="12" t="s">
        <v>7</v>
      </c>
      <c r="AF45" s="12" t="s">
        <v>10</v>
      </c>
      <c r="AG45" s="12" t="s">
        <v>18</v>
      </c>
      <c r="AH45" s="12" t="s">
        <v>3</v>
      </c>
      <c r="AI45" s="12">
        <v>1</v>
      </c>
      <c r="AJ45" s="12">
        <v>9</v>
      </c>
      <c r="AK45" s="12" t="s">
        <v>21</v>
      </c>
      <c r="AL45" s="12" t="b">
        <v>1</v>
      </c>
    </row>
    <row r="46" spans="10:38" x14ac:dyDescent="0.45">
      <c r="J46" s="12" t="s">
        <v>0</v>
      </c>
      <c r="K46" s="12" t="s">
        <v>9</v>
      </c>
      <c r="L46" s="12" t="s">
        <v>11</v>
      </c>
      <c r="M46" s="12" t="s">
        <v>7</v>
      </c>
      <c r="N46" s="12" t="s">
        <v>2</v>
      </c>
      <c r="O46" s="12" t="s">
        <v>9</v>
      </c>
      <c r="P46" s="12" t="s">
        <v>9</v>
      </c>
      <c r="Q46" s="12" t="s">
        <v>20</v>
      </c>
      <c r="R46" s="12" t="s">
        <v>21</v>
      </c>
      <c r="S46" s="12" t="s">
        <v>2</v>
      </c>
      <c r="T46" s="12" t="s">
        <v>6</v>
      </c>
      <c r="U46" s="12" t="s">
        <v>1</v>
      </c>
      <c r="V46" s="12" t="s">
        <v>6</v>
      </c>
      <c r="W46" s="12" t="s">
        <v>22</v>
      </c>
      <c r="X46" s="12" t="s">
        <v>3</v>
      </c>
      <c r="Y46" s="12" t="s">
        <v>14</v>
      </c>
      <c r="Z46" s="12" t="s">
        <v>5</v>
      </c>
      <c r="AA46" s="12" t="s">
        <v>4</v>
      </c>
      <c r="AB46" s="12" t="s">
        <v>6</v>
      </c>
      <c r="AC46" s="12" t="s">
        <v>17</v>
      </c>
      <c r="AD46" s="12" t="s">
        <v>17</v>
      </c>
      <c r="AE46" s="12" t="s">
        <v>15</v>
      </c>
      <c r="AF46" s="12" t="s">
        <v>10</v>
      </c>
      <c r="AG46" s="12" t="s">
        <v>12</v>
      </c>
      <c r="AH46" s="12" t="s">
        <v>3</v>
      </c>
      <c r="AI46" s="12">
        <v>1</v>
      </c>
      <c r="AJ46" s="12">
        <v>9</v>
      </c>
      <c r="AK46" s="12" t="s">
        <v>21</v>
      </c>
      <c r="AL46" s="12" t="b">
        <v>1</v>
      </c>
    </row>
    <row r="47" spans="10:38" x14ac:dyDescent="0.45">
      <c r="J47" s="12" t="s">
        <v>4</v>
      </c>
      <c r="K47" s="12" t="s">
        <v>2</v>
      </c>
      <c r="L47" s="12" t="s">
        <v>9</v>
      </c>
      <c r="M47" s="12" t="s">
        <v>0</v>
      </c>
      <c r="N47" s="12" t="s">
        <v>11</v>
      </c>
      <c r="O47" s="12" t="s">
        <v>9</v>
      </c>
      <c r="P47" s="12" t="s">
        <v>18</v>
      </c>
      <c r="Q47" s="12" t="s">
        <v>4</v>
      </c>
      <c r="R47" s="12" t="s">
        <v>19</v>
      </c>
      <c r="S47" s="12" t="s">
        <v>4</v>
      </c>
      <c r="T47" s="12" t="s">
        <v>1</v>
      </c>
      <c r="U47" s="12" t="s">
        <v>17</v>
      </c>
      <c r="V47" s="12" t="s">
        <v>1</v>
      </c>
      <c r="W47" s="12" t="s">
        <v>7</v>
      </c>
      <c r="X47" s="12" t="s">
        <v>22</v>
      </c>
      <c r="Y47" s="12" t="s">
        <v>5</v>
      </c>
      <c r="Z47" s="12" t="s">
        <v>3</v>
      </c>
      <c r="AA47" s="12" t="s">
        <v>4</v>
      </c>
      <c r="AB47" s="12" t="s">
        <v>11</v>
      </c>
      <c r="AC47" s="12" t="s">
        <v>6</v>
      </c>
      <c r="AD47" s="12" t="s">
        <v>4</v>
      </c>
      <c r="AE47" s="12" t="s">
        <v>7</v>
      </c>
      <c r="AF47" s="12" t="s">
        <v>7</v>
      </c>
      <c r="AG47" s="12" t="s">
        <v>3</v>
      </c>
      <c r="AH47" s="12" t="s">
        <v>18</v>
      </c>
      <c r="AI47" s="12">
        <v>1</v>
      </c>
      <c r="AJ47" s="12">
        <v>9</v>
      </c>
      <c r="AK47" s="12" t="s">
        <v>19</v>
      </c>
      <c r="AL47" s="12" t="b">
        <v>1</v>
      </c>
    </row>
    <row r="48" spans="10:38" x14ac:dyDescent="0.45">
      <c r="J48" s="12" t="s">
        <v>7</v>
      </c>
      <c r="K48" s="12" t="s">
        <v>2</v>
      </c>
      <c r="L48" s="12" t="s">
        <v>11</v>
      </c>
      <c r="M48" s="12" t="s">
        <v>0</v>
      </c>
      <c r="N48" s="12" t="s">
        <v>2</v>
      </c>
      <c r="O48" s="12" t="s">
        <v>0</v>
      </c>
      <c r="P48" s="12" t="s">
        <v>18</v>
      </c>
      <c r="Q48" s="12" t="s">
        <v>0</v>
      </c>
      <c r="R48" s="12" t="s">
        <v>23</v>
      </c>
      <c r="S48" s="12" t="s">
        <v>1</v>
      </c>
      <c r="T48" s="12" t="s">
        <v>9</v>
      </c>
      <c r="U48" s="12" t="s">
        <v>6</v>
      </c>
      <c r="V48" s="12" t="s">
        <v>17</v>
      </c>
      <c r="W48" s="12" t="s">
        <v>14</v>
      </c>
      <c r="X48" s="12" t="s">
        <v>3</v>
      </c>
      <c r="Y48" s="12" t="s">
        <v>14</v>
      </c>
      <c r="Z48" s="12" t="s">
        <v>22</v>
      </c>
      <c r="AA48" s="12" t="s">
        <v>4</v>
      </c>
      <c r="AB48" s="12" t="s">
        <v>3</v>
      </c>
      <c r="AC48" s="12" t="s">
        <v>17</v>
      </c>
      <c r="AD48" s="12" t="s">
        <v>8</v>
      </c>
      <c r="AE48" s="12" t="s">
        <v>12</v>
      </c>
      <c r="AF48" s="12" t="s">
        <v>7</v>
      </c>
      <c r="AG48" s="12" t="s">
        <v>2</v>
      </c>
      <c r="AH48" s="12" t="s">
        <v>6</v>
      </c>
      <c r="AI48" s="12">
        <v>1</v>
      </c>
      <c r="AJ48" s="12">
        <v>9</v>
      </c>
      <c r="AK48" s="12" t="s">
        <v>23</v>
      </c>
      <c r="AL48" s="12" t="b">
        <v>1</v>
      </c>
    </row>
    <row r="49" spans="10:38" x14ac:dyDescent="0.45">
      <c r="J49" s="12" t="s">
        <v>4</v>
      </c>
      <c r="K49" s="12" t="s">
        <v>2</v>
      </c>
      <c r="L49" s="12" t="s">
        <v>0</v>
      </c>
      <c r="M49" s="12" t="s">
        <v>0</v>
      </c>
      <c r="N49" s="12" t="s">
        <v>2</v>
      </c>
      <c r="O49" s="12" t="s">
        <v>0</v>
      </c>
      <c r="P49" s="12" t="s">
        <v>9</v>
      </c>
      <c r="Q49" s="12" t="s">
        <v>20</v>
      </c>
      <c r="R49" s="12" t="s">
        <v>24</v>
      </c>
      <c r="S49" s="12" t="s">
        <v>6</v>
      </c>
      <c r="T49" s="12" t="s">
        <v>10</v>
      </c>
      <c r="U49" s="12" t="s">
        <v>6</v>
      </c>
      <c r="V49" s="12" t="s">
        <v>10</v>
      </c>
      <c r="W49" s="12" t="s">
        <v>7</v>
      </c>
      <c r="X49" s="12" t="s">
        <v>22</v>
      </c>
      <c r="Y49" s="12" t="s">
        <v>2</v>
      </c>
      <c r="Z49" s="12" t="s">
        <v>5</v>
      </c>
      <c r="AA49" s="12" t="s">
        <v>9</v>
      </c>
      <c r="AB49" s="12" t="s">
        <v>11</v>
      </c>
      <c r="AC49" s="12" t="s">
        <v>17</v>
      </c>
      <c r="AD49" s="12" t="s">
        <v>7</v>
      </c>
      <c r="AE49" s="12" t="s">
        <v>7</v>
      </c>
      <c r="AF49" s="12" t="s">
        <v>7</v>
      </c>
      <c r="AG49" s="12" t="s">
        <v>3</v>
      </c>
      <c r="AH49" s="12" t="s">
        <v>6</v>
      </c>
      <c r="AI49" s="12">
        <v>1</v>
      </c>
      <c r="AJ49" s="12">
        <v>9</v>
      </c>
      <c r="AK49" s="12" t="s">
        <v>24</v>
      </c>
      <c r="AL49" s="12" t="b">
        <v>1</v>
      </c>
    </row>
    <row r="50" spans="10:38" x14ac:dyDescent="0.45">
      <c r="J50" s="12" t="s">
        <v>20</v>
      </c>
      <c r="K50" s="12" t="s">
        <v>2</v>
      </c>
      <c r="L50" s="12" t="s">
        <v>9</v>
      </c>
      <c r="M50" s="12" t="s">
        <v>0</v>
      </c>
      <c r="N50" s="12" t="s">
        <v>9</v>
      </c>
      <c r="O50" s="12" t="s">
        <v>9</v>
      </c>
      <c r="P50" s="12" t="s">
        <v>9</v>
      </c>
      <c r="Q50" s="12" t="s">
        <v>0</v>
      </c>
      <c r="R50" s="12" t="s">
        <v>23</v>
      </c>
      <c r="S50" s="12" t="s">
        <v>2</v>
      </c>
      <c r="T50" s="12" t="s">
        <v>9</v>
      </c>
      <c r="U50" s="12" t="s">
        <v>9</v>
      </c>
      <c r="V50" s="12" t="s">
        <v>1</v>
      </c>
      <c r="W50" s="12" t="s">
        <v>3</v>
      </c>
      <c r="X50" s="12" t="s">
        <v>22</v>
      </c>
      <c r="Y50" s="12" t="s">
        <v>2</v>
      </c>
      <c r="Z50" s="12" t="s">
        <v>3</v>
      </c>
      <c r="AA50" s="12" t="s">
        <v>2</v>
      </c>
      <c r="AB50" s="12" t="s">
        <v>6</v>
      </c>
      <c r="AC50" s="12" t="s">
        <v>9</v>
      </c>
      <c r="AD50" s="12" t="s">
        <v>4</v>
      </c>
      <c r="AE50" s="12" t="s">
        <v>25</v>
      </c>
      <c r="AF50" s="12" t="s">
        <v>7</v>
      </c>
      <c r="AG50" s="12" t="s">
        <v>3</v>
      </c>
      <c r="AH50" s="12" t="s">
        <v>3</v>
      </c>
      <c r="AI50" s="12">
        <v>1</v>
      </c>
      <c r="AJ50" s="12">
        <v>9</v>
      </c>
      <c r="AK50" s="12" t="s">
        <v>23</v>
      </c>
      <c r="AL50" s="12" t="b">
        <v>1</v>
      </c>
    </row>
    <row r="51" spans="10:38" x14ac:dyDescent="0.45">
      <c r="J51" s="12" t="s">
        <v>0</v>
      </c>
      <c r="K51" s="12" t="s">
        <v>2</v>
      </c>
      <c r="L51" s="12" t="s">
        <v>9</v>
      </c>
      <c r="M51" s="12" t="s">
        <v>4</v>
      </c>
      <c r="N51" s="12" t="s">
        <v>9</v>
      </c>
      <c r="O51" s="12" t="s">
        <v>9</v>
      </c>
      <c r="P51" s="12" t="s">
        <v>15</v>
      </c>
      <c r="Q51" s="12" t="s">
        <v>7</v>
      </c>
      <c r="R51" s="12" t="s">
        <v>21</v>
      </c>
      <c r="S51" s="12" t="s">
        <v>1</v>
      </c>
      <c r="T51" s="12" t="s">
        <v>1</v>
      </c>
      <c r="U51" s="12" t="s">
        <v>17</v>
      </c>
      <c r="V51" s="12" t="s">
        <v>17</v>
      </c>
      <c r="W51" s="12" t="s">
        <v>3</v>
      </c>
      <c r="X51" s="12" t="s">
        <v>7</v>
      </c>
      <c r="Y51" s="12" t="s">
        <v>6</v>
      </c>
      <c r="Z51" s="12" t="s">
        <v>5</v>
      </c>
      <c r="AA51" s="12" t="s">
        <v>4</v>
      </c>
      <c r="AB51" s="12" t="s">
        <v>9</v>
      </c>
      <c r="AC51" s="12" t="s">
        <v>17</v>
      </c>
      <c r="AD51" s="12" t="s">
        <v>7</v>
      </c>
      <c r="AE51" s="12" t="s">
        <v>25</v>
      </c>
      <c r="AF51" s="12" t="s">
        <v>10</v>
      </c>
      <c r="AG51" s="12" t="s">
        <v>2</v>
      </c>
      <c r="AH51" s="12" t="s">
        <v>18</v>
      </c>
      <c r="AI51" s="12">
        <v>1</v>
      </c>
      <c r="AJ51" s="12">
        <v>9</v>
      </c>
      <c r="AK51" s="12" t="s">
        <v>21</v>
      </c>
      <c r="AL51" s="12" t="b">
        <v>1</v>
      </c>
    </row>
    <row r="52" spans="10:38" x14ac:dyDescent="0.45">
      <c r="J52" s="12" t="s">
        <v>0</v>
      </c>
      <c r="K52" s="12" t="s">
        <v>2</v>
      </c>
      <c r="L52" s="12" t="s">
        <v>0</v>
      </c>
      <c r="M52" s="12" t="s">
        <v>7</v>
      </c>
      <c r="N52" s="12" t="s">
        <v>2</v>
      </c>
      <c r="O52" s="12" t="s">
        <v>9</v>
      </c>
      <c r="P52" s="12" t="s">
        <v>9</v>
      </c>
      <c r="Q52" s="12" t="s">
        <v>17</v>
      </c>
      <c r="R52" s="12" t="s">
        <v>23</v>
      </c>
      <c r="S52" s="12" t="s">
        <v>4</v>
      </c>
      <c r="T52" s="12" t="s">
        <v>6</v>
      </c>
      <c r="U52" s="12" t="s">
        <v>22</v>
      </c>
      <c r="V52" s="12" t="s">
        <v>10</v>
      </c>
      <c r="W52" s="12" t="s">
        <v>14</v>
      </c>
      <c r="X52" s="12" t="s">
        <v>2</v>
      </c>
      <c r="Y52" s="12" t="s">
        <v>14</v>
      </c>
      <c r="Z52" s="12" t="s">
        <v>14</v>
      </c>
      <c r="AA52" s="12" t="s">
        <v>4</v>
      </c>
      <c r="AB52" s="12" t="s">
        <v>6</v>
      </c>
      <c r="AC52" s="12" t="s">
        <v>6</v>
      </c>
      <c r="AD52" s="12" t="s">
        <v>4</v>
      </c>
      <c r="AE52" s="12" t="s">
        <v>7</v>
      </c>
      <c r="AF52" s="12" t="s">
        <v>7</v>
      </c>
      <c r="AG52" s="12" t="s">
        <v>18</v>
      </c>
      <c r="AH52" s="12" t="s">
        <v>6</v>
      </c>
      <c r="AI52" s="12">
        <v>1</v>
      </c>
      <c r="AJ52" s="12">
        <v>9</v>
      </c>
      <c r="AK52" s="12" t="s">
        <v>23</v>
      </c>
      <c r="AL52" s="12" t="b">
        <v>1</v>
      </c>
    </row>
    <row r="53" spans="10:38" x14ac:dyDescent="0.45">
      <c r="J53" s="12" t="s">
        <v>17</v>
      </c>
      <c r="K53" s="12" t="s">
        <v>14</v>
      </c>
      <c r="L53" s="12" t="s">
        <v>11</v>
      </c>
      <c r="M53" s="12" t="s">
        <v>20</v>
      </c>
      <c r="N53" s="12" t="s">
        <v>2</v>
      </c>
      <c r="O53" s="12" t="s">
        <v>0</v>
      </c>
      <c r="P53" s="12" t="s">
        <v>9</v>
      </c>
      <c r="Q53" s="12" t="s">
        <v>4</v>
      </c>
      <c r="R53" s="12" t="s">
        <v>16</v>
      </c>
      <c r="S53" s="12" t="s">
        <v>6</v>
      </c>
      <c r="T53" s="12" t="s">
        <v>1</v>
      </c>
      <c r="U53" s="12" t="s">
        <v>17</v>
      </c>
      <c r="V53" s="12" t="s">
        <v>1</v>
      </c>
      <c r="W53" s="12" t="s">
        <v>5</v>
      </c>
      <c r="X53" s="12" t="s">
        <v>7</v>
      </c>
      <c r="Y53" s="12" t="s">
        <v>5</v>
      </c>
      <c r="Z53" s="12" t="s">
        <v>14</v>
      </c>
      <c r="AA53" s="12" t="s">
        <v>4</v>
      </c>
      <c r="AB53" s="12" t="s">
        <v>9</v>
      </c>
      <c r="AC53" s="12" t="s">
        <v>17</v>
      </c>
      <c r="AD53" s="12" t="s">
        <v>10</v>
      </c>
      <c r="AE53" s="12" t="s">
        <v>7</v>
      </c>
      <c r="AF53" s="12" t="s">
        <v>7</v>
      </c>
      <c r="AG53" s="12" t="s">
        <v>12</v>
      </c>
      <c r="AH53" s="12" t="s">
        <v>3</v>
      </c>
      <c r="AI53" s="12">
        <v>1</v>
      </c>
      <c r="AJ53" s="12">
        <v>9</v>
      </c>
      <c r="AK53" s="12" t="s">
        <v>16</v>
      </c>
      <c r="AL53" s="12" t="b">
        <v>1</v>
      </c>
    </row>
    <row r="54" spans="10:38" x14ac:dyDescent="0.45">
      <c r="J54" s="12" t="s">
        <v>17</v>
      </c>
      <c r="K54" s="12" t="s">
        <v>14</v>
      </c>
      <c r="L54" s="12" t="s">
        <v>9</v>
      </c>
      <c r="M54" s="12" t="s">
        <v>4</v>
      </c>
      <c r="N54" s="12" t="s">
        <v>2</v>
      </c>
      <c r="O54" s="12" t="s">
        <v>0</v>
      </c>
      <c r="P54" s="12" t="s">
        <v>9</v>
      </c>
      <c r="Q54" s="12" t="s">
        <v>0</v>
      </c>
      <c r="R54" s="12" t="s">
        <v>23</v>
      </c>
      <c r="S54" s="12" t="s">
        <v>4</v>
      </c>
      <c r="T54" s="12" t="s">
        <v>6</v>
      </c>
      <c r="U54" s="12" t="s">
        <v>17</v>
      </c>
      <c r="V54" s="12" t="s">
        <v>9</v>
      </c>
      <c r="W54" s="12" t="s">
        <v>5</v>
      </c>
      <c r="X54" s="12" t="s">
        <v>5</v>
      </c>
      <c r="Y54" s="12" t="s">
        <v>14</v>
      </c>
      <c r="Z54" s="12" t="s">
        <v>5</v>
      </c>
      <c r="AA54" s="12" t="s">
        <v>4</v>
      </c>
      <c r="AB54" s="12" t="s">
        <v>6</v>
      </c>
      <c r="AC54" s="12" t="s">
        <v>6</v>
      </c>
      <c r="AD54" s="12" t="s">
        <v>7</v>
      </c>
      <c r="AE54" s="12" t="s">
        <v>25</v>
      </c>
      <c r="AF54" s="12" t="s">
        <v>7</v>
      </c>
      <c r="AG54" s="12" t="s">
        <v>12</v>
      </c>
      <c r="AH54" s="12" t="s">
        <v>3</v>
      </c>
      <c r="AI54" s="12">
        <v>1</v>
      </c>
      <c r="AJ54" s="12">
        <v>9</v>
      </c>
      <c r="AK54" s="12" t="s">
        <v>23</v>
      </c>
      <c r="AL54" s="12" t="b">
        <v>1</v>
      </c>
    </row>
    <row r="55" spans="10:38" x14ac:dyDescent="0.45">
      <c r="J55" s="12" t="s">
        <v>8</v>
      </c>
      <c r="K55" s="12" t="s">
        <v>2</v>
      </c>
      <c r="L55" s="12" t="s">
        <v>9</v>
      </c>
      <c r="M55" s="12" t="s">
        <v>7</v>
      </c>
      <c r="N55" s="12" t="s">
        <v>15</v>
      </c>
      <c r="O55" s="12" t="s">
        <v>0</v>
      </c>
      <c r="P55" s="12" t="s">
        <v>11</v>
      </c>
      <c r="Q55" s="12" t="s">
        <v>7</v>
      </c>
      <c r="R55" s="12" t="s">
        <v>24</v>
      </c>
      <c r="S55" s="12" t="s">
        <v>6</v>
      </c>
      <c r="T55" s="12" t="s">
        <v>22</v>
      </c>
      <c r="U55" s="12" t="s">
        <v>1</v>
      </c>
      <c r="V55" s="12" t="s">
        <v>6</v>
      </c>
      <c r="W55" s="12" t="s">
        <v>3</v>
      </c>
      <c r="X55" s="12" t="s">
        <v>3</v>
      </c>
      <c r="Y55" s="12" t="s">
        <v>2</v>
      </c>
      <c r="Z55" s="12" t="s">
        <v>5</v>
      </c>
      <c r="AA55" s="12" t="s">
        <v>4</v>
      </c>
      <c r="AB55" s="12" t="s">
        <v>6</v>
      </c>
      <c r="AC55" s="12" t="s">
        <v>17</v>
      </c>
      <c r="AD55" s="12" t="s">
        <v>7</v>
      </c>
      <c r="AE55" s="12" t="s">
        <v>3</v>
      </c>
      <c r="AF55" s="12" t="s">
        <v>7</v>
      </c>
      <c r="AG55" s="12" t="s">
        <v>3</v>
      </c>
      <c r="AH55" s="12" t="s">
        <v>3</v>
      </c>
      <c r="AI55" s="12">
        <v>1</v>
      </c>
      <c r="AJ55" s="12">
        <v>9</v>
      </c>
      <c r="AK55" s="12" t="s">
        <v>24</v>
      </c>
      <c r="AL55" s="12" t="b">
        <v>1</v>
      </c>
    </row>
    <row r="56" spans="10:38" x14ac:dyDescent="0.45">
      <c r="J56" s="12" t="s">
        <v>8</v>
      </c>
      <c r="K56" s="12" t="s">
        <v>9</v>
      </c>
      <c r="L56" s="12" t="s">
        <v>9</v>
      </c>
      <c r="M56" s="12" t="s">
        <v>0</v>
      </c>
      <c r="N56" s="12" t="s">
        <v>11</v>
      </c>
      <c r="O56" s="12" t="s">
        <v>9</v>
      </c>
      <c r="P56" s="12" t="s">
        <v>0</v>
      </c>
      <c r="Q56" s="12" t="s">
        <v>20</v>
      </c>
      <c r="R56" s="12" t="s">
        <v>21</v>
      </c>
      <c r="S56" s="12" t="s">
        <v>4</v>
      </c>
      <c r="T56" s="12" t="s">
        <v>10</v>
      </c>
      <c r="U56" s="12" t="s">
        <v>6</v>
      </c>
      <c r="V56" s="12" t="s">
        <v>9</v>
      </c>
      <c r="W56" s="12" t="s">
        <v>5</v>
      </c>
      <c r="X56" s="12" t="s">
        <v>3</v>
      </c>
      <c r="Y56" s="12" t="s">
        <v>5</v>
      </c>
      <c r="Z56" s="12" t="s">
        <v>7</v>
      </c>
      <c r="AA56" s="12" t="s">
        <v>9</v>
      </c>
      <c r="AB56" s="12" t="s">
        <v>6</v>
      </c>
      <c r="AC56" s="12" t="s">
        <v>17</v>
      </c>
      <c r="AD56" s="12" t="s">
        <v>7</v>
      </c>
      <c r="AE56" s="12" t="s">
        <v>15</v>
      </c>
      <c r="AF56" s="12" t="s">
        <v>7</v>
      </c>
      <c r="AG56" s="12" t="s">
        <v>6</v>
      </c>
      <c r="AH56" s="12" t="s">
        <v>6</v>
      </c>
      <c r="AI56" s="12">
        <v>1</v>
      </c>
      <c r="AJ56" s="12">
        <v>9</v>
      </c>
      <c r="AK56" s="12" t="s">
        <v>21</v>
      </c>
      <c r="AL56" s="12" t="b">
        <v>1</v>
      </c>
    </row>
    <row r="57" spans="10:38" x14ac:dyDescent="0.45">
      <c r="J57" s="12" t="s">
        <v>17</v>
      </c>
      <c r="K57" s="12" t="s">
        <v>0</v>
      </c>
      <c r="L57" s="12" t="s">
        <v>0</v>
      </c>
      <c r="M57" s="12" t="s">
        <v>0</v>
      </c>
      <c r="N57" s="12" t="s">
        <v>2</v>
      </c>
      <c r="O57" s="12" t="s">
        <v>0</v>
      </c>
      <c r="P57" s="12" t="s">
        <v>11</v>
      </c>
      <c r="Q57" s="12" t="s">
        <v>7</v>
      </c>
      <c r="R57" s="12" t="s">
        <v>21</v>
      </c>
      <c r="S57" s="12" t="s">
        <v>9</v>
      </c>
      <c r="T57" s="12" t="s">
        <v>22</v>
      </c>
      <c r="U57" s="12" t="s">
        <v>17</v>
      </c>
      <c r="V57" s="12" t="s">
        <v>6</v>
      </c>
      <c r="W57" s="12" t="s">
        <v>7</v>
      </c>
      <c r="X57" s="12" t="s">
        <v>3</v>
      </c>
      <c r="Y57" s="12" t="s">
        <v>3</v>
      </c>
      <c r="Z57" s="12" t="s">
        <v>14</v>
      </c>
      <c r="AA57" s="12" t="s">
        <v>4</v>
      </c>
      <c r="AB57" s="12" t="s">
        <v>6</v>
      </c>
      <c r="AC57" s="12" t="s">
        <v>17</v>
      </c>
      <c r="AD57" s="12" t="s">
        <v>20</v>
      </c>
      <c r="AE57" s="12" t="s">
        <v>12</v>
      </c>
      <c r="AF57" s="12" t="s">
        <v>10</v>
      </c>
      <c r="AG57" s="12" t="s">
        <v>2</v>
      </c>
      <c r="AH57" s="12" t="s">
        <v>18</v>
      </c>
      <c r="AI57" s="12">
        <v>1</v>
      </c>
      <c r="AJ57" s="12">
        <v>9</v>
      </c>
      <c r="AK57" s="12" t="s">
        <v>21</v>
      </c>
      <c r="AL57" s="12" t="b">
        <v>1</v>
      </c>
    </row>
    <row r="58" spans="10:38" x14ac:dyDescent="0.45">
      <c r="J58" s="12" t="s">
        <v>20</v>
      </c>
      <c r="K58" s="12" t="s">
        <v>14</v>
      </c>
      <c r="L58" s="12" t="s">
        <v>11</v>
      </c>
      <c r="M58" s="12" t="s">
        <v>4</v>
      </c>
      <c r="N58" s="12" t="s">
        <v>2</v>
      </c>
      <c r="O58" s="12" t="s">
        <v>9</v>
      </c>
      <c r="P58" s="12" t="s">
        <v>0</v>
      </c>
      <c r="Q58" s="12" t="s">
        <v>0</v>
      </c>
      <c r="R58" s="12" t="s">
        <v>26</v>
      </c>
      <c r="S58" s="12" t="s">
        <v>6</v>
      </c>
      <c r="T58" s="12" t="s">
        <v>17</v>
      </c>
      <c r="U58" s="12" t="s">
        <v>22</v>
      </c>
      <c r="V58" s="12" t="s">
        <v>17</v>
      </c>
      <c r="W58" s="12" t="s">
        <v>2</v>
      </c>
      <c r="X58" s="12" t="s">
        <v>14</v>
      </c>
      <c r="Y58" s="12" t="s">
        <v>2</v>
      </c>
      <c r="Z58" s="12" t="s">
        <v>3</v>
      </c>
      <c r="AA58" s="12" t="s">
        <v>4</v>
      </c>
      <c r="AB58" s="12" t="s">
        <v>6</v>
      </c>
      <c r="AC58" s="12" t="s">
        <v>17</v>
      </c>
      <c r="AD58" s="12" t="s">
        <v>17</v>
      </c>
      <c r="AE58" s="12" t="s">
        <v>7</v>
      </c>
      <c r="AF58" s="12" t="s">
        <v>17</v>
      </c>
      <c r="AG58" s="12" t="s">
        <v>12</v>
      </c>
      <c r="AH58" s="12" t="s">
        <v>18</v>
      </c>
      <c r="AI58" s="12">
        <v>1</v>
      </c>
      <c r="AJ58" s="12">
        <v>9</v>
      </c>
      <c r="AK58" s="12" t="s">
        <v>26</v>
      </c>
      <c r="AL58" s="12" t="b">
        <v>1</v>
      </c>
    </row>
    <row r="59" spans="10:38" x14ac:dyDescent="0.45">
      <c r="J59" s="12" t="s">
        <v>0</v>
      </c>
      <c r="K59" s="12" t="s">
        <v>9</v>
      </c>
      <c r="L59" s="12" t="s">
        <v>9</v>
      </c>
      <c r="M59" s="12" t="s">
        <v>4</v>
      </c>
      <c r="N59" s="12" t="s">
        <v>2</v>
      </c>
      <c r="O59" s="12" t="s">
        <v>0</v>
      </c>
      <c r="P59" s="12" t="s">
        <v>9</v>
      </c>
      <c r="Q59" s="12" t="s">
        <v>0</v>
      </c>
      <c r="R59" s="12" t="s">
        <v>23</v>
      </c>
      <c r="S59" s="12" t="s">
        <v>6</v>
      </c>
      <c r="T59" s="12" t="s">
        <v>17</v>
      </c>
      <c r="U59" s="12" t="s">
        <v>22</v>
      </c>
      <c r="V59" s="12" t="s">
        <v>4</v>
      </c>
      <c r="W59" s="12" t="s">
        <v>7</v>
      </c>
      <c r="X59" s="12" t="s">
        <v>2</v>
      </c>
      <c r="Y59" s="12" t="s">
        <v>5</v>
      </c>
      <c r="Z59" s="12" t="s">
        <v>5</v>
      </c>
      <c r="AA59" s="12" t="s">
        <v>4</v>
      </c>
      <c r="AB59" s="12" t="s">
        <v>9</v>
      </c>
      <c r="AC59" s="12" t="s">
        <v>17</v>
      </c>
      <c r="AD59" s="12" t="s">
        <v>8</v>
      </c>
      <c r="AE59" s="12" t="s">
        <v>15</v>
      </c>
      <c r="AF59" s="12" t="s">
        <v>8</v>
      </c>
      <c r="AG59" s="12" t="s">
        <v>6</v>
      </c>
      <c r="AH59" s="12" t="s">
        <v>18</v>
      </c>
      <c r="AI59" s="12">
        <v>1</v>
      </c>
      <c r="AJ59" s="12">
        <v>9</v>
      </c>
      <c r="AK59" s="12" t="s">
        <v>23</v>
      </c>
      <c r="AL59" s="12" t="b">
        <v>1</v>
      </c>
    </row>
    <row r="60" spans="10:38" x14ac:dyDescent="0.45">
      <c r="J60" s="12" t="s">
        <v>8</v>
      </c>
      <c r="K60" s="12" t="s">
        <v>0</v>
      </c>
      <c r="L60" s="12" t="s">
        <v>0</v>
      </c>
      <c r="M60" s="12" t="s">
        <v>0</v>
      </c>
      <c r="N60" s="12" t="s">
        <v>2</v>
      </c>
      <c r="O60" s="12" t="s">
        <v>0</v>
      </c>
      <c r="P60" s="12" t="s">
        <v>18</v>
      </c>
      <c r="Q60" s="12" t="s">
        <v>20</v>
      </c>
      <c r="R60" s="12" t="s">
        <v>16</v>
      </c>
      <c r="S60" s="12" t="s">
        <v>6</v>
      </c>
      <c r="T60" s="12" t="s">
        <v>10</v>
      </c>
      <c r="U60" s="12" t="s">
        <v>9</v>
      </c>
      <c r="V60" s="12" t="s">
        <v>6</v>
      </c>
      <c r="W60" s="12" t="s">
        <v>3</v>
      </c>
      <c r="X60" s="12" t="s">
        <v>14</v>
      </c>
      <c r="Y60" s="12" t="s">
        <v>14</v>
      </c>
      <c r="Z60" s="12" t="s">
        <v>7</v>
      </c>
      <c r="AA60" s="12" t="s">
        <v>4</v>
      </c>
      <c r="AB60" s="12" t="s">
        <v>6</v>
      </c>
      <c r="AC60" s="12" t="s">
        <v>17</v>
      </c>
      <c r="AD60" s="12" t="s">
        <v>8</v>
      </c>
      <c r="AE60" s="12" t="s">
        <v>15</v>
      </c>
      <c r="AF60" s="12" t="s">
        <v>7</v>
      </c>
      <c r="AG60" s="12" t="s">
        <v>18</v>
      </c>
      <c r="AH60" s="12" t="s">
        <v>3</v>
      </c>
      <c r="AI60" s="12">
        <v>1</v>
      </c>
      <c r="AJ60" s="12">
        <v>9</v>
      </c>
      <c r="AK60" s="12" t="s">
        <v>16</v>
      </c>
      <c r="AL60" s="12" t="b">
        <v>1</v>
      </c>
    </row>
    <row r="61" spans="10:38" x14ac:dyDescent="0.45">
      <c r="J61" s="12" t="s">
        <v>7</v>
      </c>
      <c r="K61" s="12" t="s">
        <v>14</v>
      </c>
      <c r="L61" s="12" t="s">
        <v>9</v>
      </c>
      <c r="M61" s="12" t="s">
        <v>4</v>
      </c>
      <c r="N61" s="12" t="s">
        <v>15</v>
      </c>
      <c r="O61" s="12" t="s">
        <v>9</v>
      </c>
      <c r="P61" s="12" t="s">
        <v>9</v>
      </c>
      <c r="Q61" s="12" t="s">
        <v>7</v>
      </c>
      <c r="R61" s="12" t="s">
        <v>26</v>
      </c>
      <c r="S61" s="12" t="s">
        <v>1</v>
      </c>
      <c r="T61" s="12" t="s">
        <v>17</v>
      </c>
      <c r="U61" s="12" t="s">
        <v>6</v>
      </c>
      <c r="V61" s="12" t="s">
        <v>4</v>
      </c>
      <c r="W61" s="12" t="s">
        <v>3</v>
      </c>
      <c r="X61" s="12" t="s">
        <v>7</v>
      </c>
      <c r="Y61" s="12" t="s">
        <v>14</v>
      </c>
      <c r="Z61" s="12" t="s">
        <v>5</v>
      </c>
      <c r="AA61" s="12" t="s">
        <v>4</v>
      </c>
      <c r="AB61" s="12" t="s">
        <v>6</v>
      </c>
      <c r="AC61" s="12" t="s">
        <v>6</v>
      </c>
      <c r="AD61" s="12" t="s">
        <v>20</v>
      </c>
      <c r="AE61" s="12" t="s">
        <v>15</v>
      </c>
      <c r="AF61" s="12" t="s">
        <v>7</v>
      </c>
      <c r="AG61" s="12" t="s">
        <v>18</v>
      </c>
      <c r="AH61" s="12" t="s">
        <v>3</v>
      </c>
      <c r="AI61" s="12">
        <v>1</v>
      </c>
      <c r="AJ61" s="12">
        <v>9</v>
      </c>
      <c r="AK61" s="12" t="s">
        <v>26</v>
      </c>
      <c r="AL61" s="12" t="b">
        <v>1</v>
      </c>
    </row>
    <row r="62" spans="10:38" x14ac:dyDescent="0.45">
      <c r="J62" s="12" t="s">
        <v>7</v>
      </c>
      <c r="K62" s="12" t="s">
        <v>2</v>
      </c>
      <c r="L62" s="12" t="s">
        <v>9</v>
      </c>
      <c r="M62" s="12" t="s">
        <v>0</v>
      </c>
      <c r="N62" s="12" t="s">
        <v>9</v>
      </c>
      <c r="O62" s="12" t="s">
        <v>0</v>
      </c>
      <c r="P62" s="12" t="s">
        <v>9</v>
      </c>
      <c r="Q62" s="12" t="s">
        <v>0</v>
      </c>
      <c r="R62" s="12" t="s">
        <v>16</v>
      </c>
      <c r="S62" s="12" t="s">
        <v>6</v>
      </c>
      <c r="T62" s="12" t="s">
        <v>6</v>
      </c>
      <c r="U62" s="12" t="s">
        <v>6</v>
      </c>
      <c r="V62" s="12" t="s">
        <v>17</v>
      </c>
      <c r="W62" s="12" t="s">
        <v>3</v>
      </c>
      <c r="X62" s="12" t="s">
        <v>3</v>
      </c>
      <c r="Y62" s="12" t="s">
        <v>6</v>
      </c>
      <c r="Z62" s="12" t="s">
        <v>7</v>
      </c>
      <c r="AA62" s="12" t="s">
        <v>18</v>
      </c>
      <c r="AB62" s="12" t="s">
        <v>6</v>
      </c>
      <c r="AC62" s="12" t="s">
        <v>17</v>
      </c>
      <c r="AD62" s="12" t="s">
        <v>4</v>
      </c>
      <c r="AE62" s="12" t="s">
        <v>7</v>
      </c>
      <c r="AF62" s="12" t="s">
        <v>10</v>
      </c>
      <c r="AG62" s="12" t="s">
        <v>18</v>
      </c>
      <c r="AH62" s="12" t="s">
        <v>6</v>
      </c>
      <c r="AI62" s="12">
        <v>1</v>
      </c>
      <c r="AJ62" s="12">
        <v>9</v>
      </c>
      <c r="AK62" s="12" t="s">
        <v>16</v>
      </c>
      <c r="AL62" s="12" t="b">
        <v>1</v>
      </c>
    </row>
    <row r="63" spans="10:38" x14ac:dyDescent="0.45">
      <c r="J63" s="12" t="s">
        <v>0</v>
      </c>
      <c r="K63" s="12" t="s">
        <v>2</v>
      </c>
      <c r="L63" s="12" t="s">
        <v>9</v>
      </c>
      <c r="M63" s="12" t="s">
        <v>4</v>
      </c>
      <c r="N63" s="12" t="s">
        <v>2</v>
      </c>
      <c r="O63" s="12" t="s">
        <v>9</v>
      </c>
      <c r="P63" s="12" t="s">
        <v>15</v>
      </c>
      <c r="Q63" s="12" t="s">
        <v>20</v>
      </c>
      <c r="R63" s="12" t="s">
        <v>24</v>
      </c>
      <c r="S63" s="12" t="s">
        <v>4</v>
      </c>
      <c r="T63" s="12" t="s">
        <v>6</v>
      </c>
      <c r="U63" s="12" t="s">
        <v>1</v>
      </c>
      <c r="V63" s="12" t="s">
        <v>10</v>
      </c>
      <c r="W63" s="12" t="s">
        <v>5</v>
      </c>
      <c r="X63" s="12" t="s">
        <v>22</v>
      </c>
      <c r="Y63" s="12" t="s">
        <v>14</v>
      </c>
      <c r="Z63" s="12" t="s">
        <v>5</v>
      </c>
      <c r="AA63" s="12" t="s">
        <v>4</v>
      </c>
      <c r="AB63" s="12" t="s">
        <v>11</v>
      </c>
      <c r="AC63" s="12" t="s">
        <v>17</v>
      </c>
      <c r="AD63" s="12" t="s">
        <v>20</v>
      </c>
      <c r="AE63" s="12" t="s">
        <v>7</v>
      </c>
      <c r="AF63" s="12" t="s">
        <v>10</v>
      </c>
      <c r="AG63" s="12" t="s">
        <v>12</v>
      </c>
      <c r="AH63" s="12" t="s">
        <v>3</v>
      </c>
      <c r="AI63" s="12">
        <v>1</v>
      </c>
      <c r="AJ63" s="12">
        <v>9</v>
      </c>
      <c r="AK63" s="12" t="s">
        <v>24</v>
      </c>
      <c r="AL63" s="12" t="b">
        <v>1</v>
      </c>
    </row>
    <row r="64" spans="10:38" x14ac:dyDescent="0.45">
      <c r="J64" s="12" t="s">
        <v>4</v>
      </c>
      <c r="K64" s="12" t="s">
        <v>2</v>
      </c>
      <c r="L64" s="12" t="s">
        <v>9</v>
      </c>
      <c r="M64" s="12" t="s">
        <v>7</v>
      </c>
      <c r="N64" s="12" t="s">
        <v>0</v>
      </c>
      <c r="O64" s="12" t="s">
        <v>0</v>
      </c>
      <c r="P64" s="12" t="s">
        <v>15</v>
      </c>
      <c r="Q64" s="12" t="s">
        <v>20</v>
      </c>
      <c r="R64" s="12" t="s">
        <v>21</v>
      </c>
      <c r="S64" s="12" t="s">
        <v>1</v>
      </c>
      <c r="T64" s="12" t="s">
        <v>6</v>
      </c>
      <c r="U64" s="12" t="s">
        <v>17</v>
      </c>
      <c r="V64" s="12" t="s">
        <v>10</v>
      </c>
      <c r="W64" s="12" t="s">
        <v>14</v>
      </c>
      <c r="X64" s="12" t="s">
        <v>5</v>
      </c>
      <c r="Y64" s="12" t="s">
        <v>6</v>
      </c>
      <c r="Z64" s="12" t="s">
        <v>14</v>
      </c>
      <c r="AA64" s="12" t="s">
        <v>4</v>
      </c>
      <c r="AB64" s="12" t="s">
        <v>3</v>
      </c>
      <c r="AC64" s="12" t="s">
        <v>17</v>
      </c>
      <c r="AD64" s="12" t="s">
        <v>10</v>
      </c>
      <c r="AE64" s="12" t="s">
        <v>3</v>
      </c>
      <c r="AF64" s="12" t="s">
        <v>7</v>
      </c>
      <c r="AG64" s="12" t="s">
        <v>12</v>
      </c>
      <c r="AH64" s="12" t="s">
        <v>18</v>
      </c>
      <c r="AI64" s="12">
        <v>1</v>
      </c>
      <c r="AJ64" s="12">
        <v>9</v>
      </c>
      <c r="AK64" s="12" t="s">
        <v>21</v>
      </c>
      <c r="AL64" s="12" t="b">
        <v>1</v>
      </c>
    </row>
    <row r="65" spans="10:38" x14ac:dyDescent="0.45">
      <c r="J65" s="12" t="s">
        <v>0</v>
      </c>
      <c r="K65" s="12" t="s">
        <v>2</v>
      </c>
      <c r="L65" s="12" t="s">
        <v>11</v>
      </c>
      <c r="M65" s="12" t="s">
        <v>4</v>
      </c>
      <c r="N65" s="12" t="s">
        <v>0</v>
      </c>
      <c r="O65" s="12" t="s">
        <v>0</v>
      </c>
      <c r="P65" s="12" t="s">
        <v>0</v>
      </c>
      <c r="Q65" s="12" t="s">
        <v>0</v>
      </c>
      <c r="R65" s="12" t="s">
        <v>26</v>
      </c>
      <c r="S65" s="12" t="s">
        <v>6</v>
      </c>
      <c r="T65" s="12" t="s">
        <v>22</v>
      </c>
      <c r="U65" s="12" t="s">
        <v>17</v>
      </c>
      <c r="V65" s="12" t="s">
        <v>6</v>
      </c>
      <c r="W65" s="12" t="s">
        <v>7</v>
      </c>
      <c r="X65" s="12" t="s">
        <v>5</v>
      </c>
      <c r="Y65" s="12" t="s">
        <v>6</v>
      </c>
      <c r="Z65" s="12" t="s">
        <v>3</v>
      </c>
      <c r="AA65" s="12" t="s">
        <v>9</v>
      </c>
      <c r="AB65" s="12" t="s">
        <v>9</v>
      </c>
      <c r="AC65" s="12" t="s">
        <v>6</v>
      </c>
      <c r="AD65" s="12" t="s">
        <v>4</v>
      </c>
      <c r="AE65" s="12" t="s">
        <v>7</v>
      </c>
      <c r="AF65" s="12" t="s">
        <v>10</v>
      </c>
      <c r="AG65" s="12" t="s">
        <v>2</v>
      </c>
      <c r="AH65" s="12" t="s">
        <v>3</v>
      </c>
      <c r="AI65" s="12">
        <v>1</v>
      </c>
      <c r="AJ65" s="12">
        <v>9</v>
      </c>
      <c r="AK65" s="12" t="s">
        <v>26</v>
      </c>
      <c r="AL65" s="12" t="b">
        <v>1</v>
      </c>
    </row>
    <row r="66" spans="10:38" x14ac:dyDescent="0.45">
      <c r="J66" s="12" t="s">
        <v>17</v>
      </c>
      <c r="K66" s="12" t="s">
        <v>2</v>
      </c>
      <c r="L66" s="12" t="s">
        <v>9</v>
      </c>
      <c r="M66" s="12" t="s">
        <v>20</v>
      </c>
      <c r="N66" s="12" t="s">
        <v>15</v>
      </c>
      <c r="O66" s="12" t="s">
        <v>9</v>
      </c>
      <c r="P66" s="12" t="s">
        <v>0</v>
      </c>
      <c r="Q66" s="12" t="s">
        <v>17</v>
      </c>
      <c r="R66" s="12" t="s">
        <v>23</v>
      </c>
      <c r="S66" s="12" t="s">
        <v>1</v>
      </c>
      <c r="T66" s="12" t="s">
        <v>10</v>
      </c>
      <c r="U66" s="12" t="s">
        <v>17</v>
      </c>
      <c r="V66" s="12" t="s">
        <v>1</v>
      </c>
      <c r="W66" s="12" t="s">
        <v>2</v>
      </c>
      <c r="X66" s="12" t="s">
        <v>7</v>
      </c>
      <c r="Y66" s="12" t="s">
        <v>3</v>
      </c>
      <c r="Z66" s="12" t="s">
        <v>3</v>
      </c>
      <c r="AA66" s="12" t="s">
        <v>18</v>
      </c>
      <c r="AB66" s="12" t="s">
        <v>3</v>
      </c>
      <c r="AC66" s="12" t="s">
        <v>17</v>
      </c>
      <c r="AD66" s="12" t="s">
        <v>8</v>
      </c>
      <c r="AE66" s="12" t="s">
        <v>7</v>
      </c>
      <c r="AF66" s="12" t="s">
        <v>8</v>
      </c>
      <c r="AG66" s="12" t="s">
        <v>3</v>
      </c>
      <c r="AH66" s="12" t="s">
        <v>3</v>
      </c>
      <c r="AI66" s="12">
        <v>1</v>
      </c>
      <c r="AJ66" s="12">
        <v>9</v>
      </c>
      <c r="AK66" s="12" t="s">
        <v>23</v>
      </c>
      <c r="AL66" s="12" t="b">
        <v>1</v>
      </c>
    </row>
    <row r="67" spans="10:38" x14ac:dyDescent="0.45">
      <c r="J67" s="12" t="s">
        <v>7</v>
      </c>
      <c r="K67" s="12" t="s">
        <v>2</v>
      </c>
      <c r="L67" s="12" t="s">
        <v>9</v>
      </c>
      <c r="M67" s="12" t="s">
        <v>20</v>
      </c>
      <c r="N67" s="12" t="s">
        <v>2</v>
      </c>
      <c r="O67" s="12" t="s">
        <v>9</v>
      </c>
      <c r="P67" s="12" t="s">
        <v>15</v>
      </c>
      <c r="Q67" s="12" t="s">
        <v>0</v>
      </c>
      <c r="R67" s="12" t="s">
        <v>24</v>
      </c>
      <c r="S67" s="12" t="s">
        <v>1</v>
      </c>
      <c r="T67" s="12" t="s">
        <v>1</v>
      </c>
      <c r="U67" s="12" t="s">
        <v>17</v>
      </c>
      <c r="V67" s="12" t="s">
        <v>4</v>
      </c>
      <c r="W67" s="12" t="s">
        <v>7</v>
      </c>
      <c r="X67" s="12" t="s">
        <v>7</v>
      </c>
      <c r="Y67" s="12" t="s">
        <v>2</v>
      </c>
      <c r="Z67" s="12" t="s">
        <v>3</v>
      </c>
      <c r="AA67" s="12" t="s">
        <v>4</v>
      </c>
      <c r="AB67" s="12" t="s">
        <v>6</v>
      </c>
      <c r="AC67" s="12" t="s">
        <v>9</v>
      </c>
      <c r="AD67" s="12" t="s">
        <v>8</v>
      </c>
      <c r="AE67" s="12" t="s">
        <v>12</v>
      </c>
      <c r="AF67" s="12" t="s">
        <v>10</v>
      </c>
      <c r="AG67" s="12" t="s">
        <v>18</v>
      </c>
      <c r="AH67" s="12" t="s">
        <v>3</v>
      </c>
      <c r="AI67" s="12">
        <v>1</v>
      </c>
      <c r="AJ67" s="12">
        <v>9</v>
      </c>
      <c r="AK67" s="12" t="s">
        <v>24</v>
      </c>
      <c r="AL67" s="12" t="b">
        <v>1</v>
      </c>
    </row>
    <row r="68" spans="10:38" x14ac:dyDescent="0.45">
      <c r="J68" s="12" t="s">
        <v>7</v>
      </c>
      <c r="K68" s="12" t="s">
        <v>14</v>
      </c>
      <c r="L68" s="12" t="s">
        <v>0</v>
      </c>
      <c r="M68" s="12" t="s">
        <v>0</v>
      </c>
      <c r="N68" s="12" t="s">
        <v>9</v>
      </c>
      <c r="O68" s="12" t="s">
        <v>9</v>
      </c>
      <c r="P68" s="12" t="s">
        <v>9</v>
      </c>
      <c r="Q68" s="12" t="s">
        <v>20</v>
      </c>
      <c r="R68" s="12" t="s">
        <v>24</v>
      </c>
      <c r="S68" s="12" t="s">
        <v>6</v>
      </c>
      <c r="T68" s="12" t="s">
        <v>10</v>
      </c>
      <c r="U68" s="12" t="s">
        <v>17</v>
      </c>
      <c r="V68" s="12" t="s">
        <v>9</v>
      </c>
      <c r="W68" s="12" t="s">
        <v>22</v>
      </c>
      <c r="X68" s="12" t="s">
        <v>2</v>
      </c>
      <c r="Y68" s="12" t="s">
        <v>6</v>
      </c>
      <c r="Z68" s="12" t="s">
        <v>22</v>
      </c>
      <c r="AA68" s="12" t="s">
        <v>18</v>
      </c>
      <c r="AB68" s="12" t="s">
        <v>6</v>
      </c>
      <c r="AC68" s="12" t="s">
        <v>17</v>
      </c>
      <c r="AD68" s="12" t="s">
        <v>20</v>
      </c>
      <c r="AE68" s="12" t="s">
        <v>7</v>
      </c>
      <c r="AF68" s="12" t="s">
        <v>8</v>
      </c>
      <c r="AG68" s="12" t="s">
        <v>6</v>
      </c>
      <c r="AH68" s="12" t="s">
        <v>3</v>
      </c>
      <c r="AI68" s="12">
        <v>1</v>
      </c>
      <c r="AJ68" s="12">
        <v>9</v>
      </c>
      <c r="AK68" s="12" t="s">
        <v>24</v>
      </c>
      <c r="AL68" s="12" t="b">
        <v>1</v>
      </c>
    </row>
    <row r="69" spans="10:38" x14ac:dyDescent="0.45">
      <c r="J69" s="12" t="s">
        <v>4</v>
      </c>
      <c r="K69" s="12" t="s">
        <v>14</v>
      </c>
      <c r="L69" s="12" t="s">
        <v>9</v>
      </c>
      <c r="M69" s="12" t="s">
        <v>0</v>
      </c>
      <c r="N69" s="12" t="s">
        <v>0</v>
      </c>
      <c r="O69" s="12" t="s">
        <v>0</v>
      </c>
      <c r="P69" s="12" t="s">
        <v>0</v>
      </c>
      <c r="Q69" s="12" t="s">
        <v>20</v>
      </c>
      <c r="R69" s="12" t="s">
        <v>23</v>
      </c>
      <c r="S69" s="12" t="s">
        <v>1</v>
      </c>
      <c r="T69" s="12" t="s">
        <v>6</v>
      </c>
      <c r="U69" s="12" t="s">
        <v>1</v>
      </c>
      <c r="V69" s="12" t="s">
        <v>17</v>
      </c>
      <c r="W69" s="12" t="s">
        <v>5</v>
      </c>
      <c r="X69" s="12" t="s">
        <v>3</v>
      </c>
      <c r="Y69" s="12" t="s">
        <v>14</v>
      </c>
      <c r="Z69" s="12" t="s">
        <v>5</v>
      </c>
      <c r="AA69" s="12" t="s">
        <v>4</v>
      </c>
      <c r="AB69" s="12" t="s">
        <v>6</v>
      </c>
      <c r="AC69" s="12" t="s">
        <v>9</v>
      </c>
      <c r="AD69" s="12" t="s">
        <v>4</v>
      </c>
      <c r="AE69" s="12" t="s">
        <v>7</v>
      </c>
      <c r="AF69" s="12" t="s">
        <v>7</v>
      </c>
      <c r="AG69" s="12" t="s">
        <v>3</v>
      </c>
      <c r="AH69" s="12" t="s">
        <v>3</v>
      </c>
      <c r="AI69" s="12">
        <v>1</v>
      </c>
      <c r="AJ69" s="12">
        <v>9</v>
      </c>
      <c r="AK69" s="12" t="s">
        <v>23</v>
      </c>
      <c r="AL69" s="12" t="b">
        <v>1</v>
      </c>
    </row>
    <row r="70" spans="10:38" x14ac:dyDescent="0.45">
      <c r="J70" s="12" t="s">
        <v>7</v>
      </c>
      <c r="K70" s="12" t="s">
        <v>0</v>
      </c>
      <c r="L70" s="12" t="s">
        <v>0</v>
      </c>
      <c r="M70" s="12" t="s">
        <v>0</v>
      </c>
      <c r="N70" s="12" t="s">
        <v>2</v>
      </c>
      <c r="O70" s="12" t="s">
        <v>0</v>
      </c>
      <c r="P70" s="12" t="s">
        <v>18</v>
      </c>
      <c r="Q70" s="12" t="s">
        <v>0</v>
      </c>
      <c r="R70" s="12" t="s">
        <v>16</v>
      </c>
      <c r="S70" s="12" t="s">
        <v>1</v>
      </c>
      <c r="T70" s="12" t="s">
        <v>1</v>
      </c>
      <c r="U70" s="12" t="s">
        <v>17</v>
      </c>
      <c r="V70" s="12" t="s">
        <v>6</v>
      </c>
      <c r="W70" s="12" t="s">
        <v>2</v>
      </c>
      <c r="X70" s="12" t="s">
        <v>22</v>
      </c>
      <c r="Y70" s="12" t="s">
        <v>14</v>
      </c>
      <c r="Z70" s="12" t="s">
        <v>14</v>
      </c>
      <c r="AA70" s="12" t="s">
        <v>2</v>
      </c>
      <c r="AB70" s="12" t="s">
        <v>9</v>
      </c>
      <c r="AC70" s="12" t="s">
        <v>6</v>
      </c>
      <c r="AD70" s="12" t="s">
        <v>17</v>
      </c>
      <c r="AE70" s="12" t="s">
        <v>3</v>
      </c>
      <c r="AF70" s="12" t="s">
        <v>8</v>
      </c>
      <c r="AG70" s="12" t="s">
        <v>12</v>
      </c>
      <c r="AH70" s="12" t="s">
        <v>6</v>
      </c>
      <c r="AI70" s="12">
        <v>1</v>
      </c>
      <c r="AJ70" s="12">
        <v>9</v>
      </c>
      <c r="AK70" s="12" t="s">
        <v>16</v>
      </c>
      <c r="AL70" s="12" t="b">
        <v>1</v>
      </c>
    </row>
    <row r="71" spans="10:38" x14ac:dyDescent="0.45">
      <c r="J71" s="12" t="s">
        <v>17</v>
      </c>
      <c r="K71" s="12" t="s">
        <v>0</v>
      </c>
      <c r="L71" s="12" t="s">
        <v>9</v>
      </c>
      <c r="M71" s="12" t="s">
        <v>0</v>
      </c>
      <c r="N71" s="12" t="s">
        <v>2</v>
      </c>
      <c r="O71" s="12" t="s">
        <v>9</v>
      </c>
      <c r="P71" s="12" t="s">
        <v>11</v>
      </c>
      <c r="Q71" s="12" t="s">
        <v>20</v>
      </c>
      <c r="R71" s="12" t="s">
        <v>23</v>
      </c>
      <c r="S71" s="12" t="s">
        <v>1</v>
      </c>
      <c r="T71" s="12" t="s">
        <v>22</v>
      </c>
      <c r="U71" s="12" t="s">
        <v>17</v>
      </c>
      <c r="V71" s="12" t="s">
        <v>4</v>
      </c>
      <c r="W71" s="12" t="s">
        <v>5</v>
      </c>
      <c r="X71" s="12" t="s">
        <v>7</v>
      </c>
      <c r="Y71" s="12" t="s">
        <v>5</v>
      </c>
      <c r="Z71" s="12" t="s">
        <v>7</v>
      </c>
      <c r="AA71" s="12" t="s">
        <v>2</v>
      </c>
      <c r="AB71" s="12" t="s">
        <v>11</v>
      </c>
      <c r="AC71" s="12" t="s">
        <v>17</v>
      </c>
      <c r="AD71" s="12" t="s">
        <v>10</v>
      </c>
      <c r="AE71" s="12" t="s">
        <v>25</v>
      </c>
      <c r="AF71" s="12" t="s">
        <v>7</v>
      </c>
      <c r="AG71" s="12" t="s">
        <v>3</v>
      </c>
      <c r="AH71" s="12" t="s">
        <v>3</v>
      </c>
      <c r="AI71" s="12">
        <v>1</v>
      </c>
      <c r="AJ71" s="12">
        <v>9</v>
      </c>
      <c r="AK71" s="12" t="s">
        <v>23</v>
      </c>
      <c r="AL71" s="12" t="b">
        <v>1</v>
      </c>
    </row>
    <row r="72" spans="10:38" x14ac:dyDescent="0.45">
      <c r="J72" s="12" t="s">
        <v>20</v>
      </c>
      <c r="K72" s="12" t="s">
        <v>2</v>
      </c>
      <c r="L72" s="12" t="s">
        <v>9</v>
      </c>
      <c r="M72" s="12" t="s">
        <v>0</v>
      </c>
      <c r="N72" s="12" t="s">
        <v>9</v>
      </c>
      <c r="O72" s="12" t="s">
        <v>9</v>
      </c>
      <c r="P72" s="12" t="s">
        <v>18</v>
      </c>
      <c r="Q72" s="12" t="s">
        <v>0</v>
      </c>
      <c r="R72" s="12" t="s">
        <v>26</v>
      </c>
      <c r="S72" s="12" t="s">
        <v>6</v>
      </c>
      <c r="T72" s="12" t="s">
        <v>10</v>
      </c>
      <c r="U72" s="12" t="s">
        <v>17</v>
      </c>
      <c r="V72" s="12" t="s">
        <v>4</v>
      </c>
      <c r="W72" s="12" t="s">
        <v>2</v>
      </c>
      <c r="X72" s="12" t="s">
        <v>3</v>
      </c>
      <c r="Y72" s="12" t="s">
        <v>14</v>
      </c>
      <c r="Z72" s="12" t="s">
        <v>5</v>
      </c>
      <c r="AA72" s="12" t="s">
        <v>2</v>
      </c>
      <c r="AB72" s="12" t="s">
        <v>6</v>
      </c>
      <c r="AC72" s="12" t="s">
        <v>17</v>
      </c>
      <c r="AD72" s="12" t="s">
        <v>17</v>
      </c>
      <c r="AE72" s="12" t="s">
        <v>7</v>
      </c>
      <c r="AF72" s="12" t="s">
        <v>7</v>
      </c>
      <c r="AG72" s="12" t="s">
        <v>3</v>
      </c>
      <c r="AH72" s="12" t="s">
        <v>3</v>
      </c>
      <c r="AI72" s="12">
        <v>1</v>
      </c>
      <c r="AJ72" s="12">
        <v>9</v>
      </c>
      <c r="AK72" s="12" t="s">
        <v>26</v>
      </c>
      <c r="AL72" s="12" t="b">
        <v>1</v>
      </c>
    </row>
    <row r="73" spans="10:38" x14ac:dyDescent="0.45">
      <c r="J73" s="12" t="s">
        <v>4</v>
      </c>
      <c r="K73" s="12" t="s">
        <v>14</v>
      </c>
      <c r="L73" s="12" t="s">
        <v>9</v>
      </c>
      <c r="M73" s="12" t="s">
        <v>7</v>
      </c>
      <c r="N73" s="12" t="s">
        <v>9</v>
      </c>
      <c r="O73" s="12" t="s">
        <v>0</v>
      </c>
      <c r="P73" s="12" t="s">
        <v>9</v>
      </c>
      <c r="Q73" s="12" t="s">
        <v>0</v>
      </c>
      <c r="R73" s="12" t="s">
        <v>24</v>
      </c>
      <c r="S73" s="12" t="s">
        <v>9</v>
      </c>
      <c r="T73" s="12" t="s">
        <v>17</v>
      </c>
      <c r="U73" s="12" t="s">
        <v>1</v>
      </c>
      <c r="V73" s="12" t="s">
        <v>1</v>
      </c>
      <c r="W73" s="12" t="s">
        <v>7</v>
      </c>
      <c r="X73" s="12" t="s">
        <v>2</v>
      </c>
      <c r="Y73" s="12" t="s">
        <v>14</v>
      </c>
      <c r="Z73" s="12" t="s">
        <v>5</v>
      </c>
      <c r="AA73" s="12" t="s">
        <v>4</v>
      </c>
      <c r="AB73" s="12" t="s">
        <v>9</v>
      </c>
      <c r="AC73" s="12" t="s">
        <v>6</v>
      </c>
      <c r="AD73" s="12" t="s">
        <v>20</v>
      </c>
      <c r="AE73" s="12" t="s">
        <v>12</v>
      </c>
      <c r="AF73" s="12" t="s">
        <v>17</v>
      </c>
      <c r="AG73" s="12" t="s">
        <v>6</v>
      </c>
      <c r="AH73" s="12" t="s">
        <v>3</v>
      </c>
      <c r="AI73" s="12">
        <v>1</v>
      </c>
      <c r="AJ73" s="12">
        <v>9</v>
      </c>
      <c r="AK73" s="12" t="s">
        <v>24</v>
      </c>
      <c r="AL73" s="12" t="b">
        <v>1</v>
      </c>
    </row>
    <row r="74" spans="10:38" x14ac:dyDescent="0.45">
      <c r="J74" s="12" t="s">
        <v>20</v>
      </c>
      <c r="K74" s="12" t="s">
        <v>0</v>
      </c>
      <c r="L74" s="12" t="s">
        <v>9</v>
      </c>
      <c r="M74" s="12" t="s">
        <v>0</v>
      </c>
      <c r="N74" s="12" t="s">
        <v>2</v>
      </c>
      <c r="O74" s="12" t="s">
        <v>0</v>
      </c>
      <c r="P74" s="12" t="s">
        <v>15</v>
      </c>
      <c r="Q74" s="12" t="s">
        <v>17</v>
      </c>
      <c r="R74" s="12" t="s">
        <v>23</v>
      </c>
      <c r="S74" s="12" t="s">
        <v>2</v>
      </c>
      <c r="T74" s="12" t="s">
        <v>6</v>
      </c>
      <c r="U74" s="12" t="s">
        <v>1</v>
      </c>
      <c r="V74" s="12" t="s">
        <v>10</v>
      </c>
      <c r="W74" s="12" t="s">
        <v>22</v>
      </c>
      <c r="X74" s="12" t="s">
        <v>2</v>
      </c>
      <c r="Y74" s="12" t="s">
        <v>6</v>
      </c>
      <c r="Z74" s="12" t="s">
        <v>7</v>
      </c>
      <c r="AA74" s="12" t="s">
        <v>2</v>
      </c>
      <c r="AB74" s="12" t="s">
        <v>6</v>
      </c>
      <c r="AC74" s="12" t="s">
        <v>9</v>
      </c>
      <c r="AD74" s="12" t="s">
        <v>10</v>
      </c>
      <c r="AE74" s="12" t="s">
        <v>7</v>
      </c>
      <c r="AF74" s="12" t="s">
        <v>7</v>
      </c>
      <c r="AG74" s="12" t="s">
        <v>3</v>
      </c>
      <c r="AH74" s="12" t="s">
        <v>3</v>
      </c>
      <c r="AI74" s="12">
        <v>1</v>
      </c>
      <c r="AJ74" s="12">
        <v>9</v>
      </c>
      <c r="AK74" s="12" t="s">
        <v>23</v>
      </c>
      <c r="AL74" s="12" t="b">
        <v>1</v>
      </c>
    </row>
    <row r="75" spans="10:38" x14ac:dyDescent="0.45">
      <c r="J75" s="12" t="s">
        <v>0</v>
      </c>
      <c r="K75" s="12" t="s">
        <v>0</v>
      </c>
      <c r="L75" s="12" t="s">
        <v>11</v>
      </c>
      <c r="M75" s="12" t="s">
        <v>0</v>
      </c>
      <c r="N75" s="12" t="s">
        <v>11</v>
      </c>
      <c r="O75" s="12" t="s">
        <v>9</v>
      </c>
      <c r="P75" s="12" t="s">
        <v>11</v>
      </c>
      <c r="Q75" s="12" t="s">
        <v>20</v>
      </c>
      <c r="R75" s="12" t="s">
        <v>23</v>
      </c>
      <c r="S75" s="12" t="s">
        <v>2</v>
      </c>
      <c r="T75" s="12" t="s">
        <v>6</v>
      </c>
      <c r="U75" s="12" t="s">
        <v>6</v>
      </c>
      <c r="V75" s="12" t="s">
        <v>6</v>
      </c>
      <c r="W75" s="12" t="s">
        <v>3</v>
      </c>
      <c r="X75" s="12" t="s">
        <v>14</v>
      </c>
      <c r="Y75" s="12" t="s">
        <v>2</v>
      </c>
      <c r="Z75" s="12" t="s">
        <v>3</v>
      </c>
      <c r="AA75" s="12" t="s">
        <v>4</v>
      </c>
      <c r="AB75" s="12" t="s">
        <v>9</v>
      </c>
      <c r="AC75" s="12" t="s">
        <v>9</v>
      </c>
      <c r="AD75" s="12" t="s">
        <v>10</v>
      </c>
      <c r="AE75" s="12" t="s">
        <v>15</v>
      </c>
      <c r="AF75" s="12" t="s">
        <v>8</v>
      </c>
      <c r="AG75" s="12" t="s">
        <v>3</v>
      </c>
      <c r="AH75" s="12" t="s">
        <v>3</v>
      </c>
      <c r="AI75" s="12">
        <v>1</v>
      </c>
      <c r="AJ75" s="12">
        <v>9</v>
      </c>
      <c r="AK75" s="12" t="s">
        <v>23</v>
      </c>
      <c r="AL75" s="12" t="b">
        <v>1</v>
      </c>
    </row>
    <row r="76" spans="10:38" x14ac:dyDescent="0.45">
      <c r="J76" s="12" t="s">
        <v>0</v>
      </c>
      <c r="K76" s="12" t="s">
        <v>0</v>
      </c>
      <c r="L76" s="12" t="s">
        <v>11</v>
      </c>
      <c r="M76" s="12" t="s">
        <v>20</v>
      </c>
      <c r="N76" s="12" t="s">
        <v>9</v>
      </c>
      <c r="O76" s="12" t="s">
        <v>0</v>
      </c>
      <c r="P76" s="12" t="s">
        <v>15</v>
      </c>
      <c r="Q76" s="12" t="s">
        <v>4</v>
      </c>
      <c r="R76" s="12" t="s">
        <v>23</v>
      </c>
      <c r="S76" s="12" t="s">
        <v>6</v>
      </c>
      <c r="T76" s="12" t="s">
        <v>10</v>
      </c>
      <c r="U76" s="12" t="s">
        <v>22</v>
      </c>
      <c r="V76" s="12" t="s">
        <v>9</v>
      </c>
      <c r="W76" s="12" t="s">
        <v>3</v>
      </c>
      <c r="X76" s="12" t="s">
        <v>7</v>
      </c>
      <c r="Y76" s="12" t="s">
        <v>2</v>
      </c>
      <c r="Z76" s="12" t="s">
        <v>14</v>
      </c>
      <c r="AA76" s="12" t="s">
        <v>18</v>
      </c>
      <c r="AB76" s="12" t="s">
        <v>3</v>
      </c>
      <c r="AC76" s="12" t="s">
        <v>6</v>
      </c>
      <c r="AD76" s="12" t="s">
        <v>17</v>
      </c>
      <c r="AE76" s="12" t="s">
        <v>15</v>
      </c>
      <c r="AF76" s="12" t="s">
        <v>10</v>
      </c>
      <c r="AG76" s="12" t="s">
        <v>3</v>
      </c>
      <c r="AH76" s="12" t="s">
        <v>6</v>
      </c>
      <c r="AI76" s="12">
        <v>1</v>
      </c>
      <c r="AJ76" s="12">
        <v>9</v>
      </c>
      <c r="AK76" s="12" t="s">
        <v>23</v>
      </c>
      <c r="AL76" s="12" t="b">
        <v>1</v>
      </c>
    </row>
    <row r="77" spans="10:38" x14ac:dyDescent="0.45">
      <c r="J77" s="12" t="s">
        <v>4</v>
      </c>
      <c r="K77" s="12" t="s">
        <v>0</v>
      </c>
      <c r="L77" s="12" t="s">
        <v>11</v>
      </c>
      <c r="M77" s="12" t="s">
        <v>0</v>
      </c>
      <c r="N77" s="12" t="s">
        <v>11</v>
      </c>
      <c r="O77" s="12" t="s">
        <v>9</v>
      </c>
      <c r="P77" s="12" t="s">
        <v>18</v>
      </c>
      <c r="Q77" s="12" t="s">
        <v>0</v>
      </c>
      <c r="R77" s="12" t="s">
        <v>23</v>
      </c>
      <c r="S77" s="12" t="s">
        <v>6</v>
      </c>
      <c r="T77" s="12" t="s">
        <v>1</v>
      </c>
      <c r="U77" s="12" t="s">
        <v>9</v>
      </c>
      <c r="V77" s="12" t="s">
        <v>6</v>
      </c>
      <c r="W77" s="12" t="s">
        <v>3</v>
      </c>
      <c r="X77" s="12" t="s">
        <v>2</v>
      </c>
      <c r="Y77" s="12" t="s">
        <v>3</v>
      </c>
      <c r="Z77" s="12" t="s">
        <v>5</v>
      </c>
      <c r="AA77" s="12" t="s">
        <v>4</v>
      </c>
      <c r="AB77" s="12" t="s">
        <v>6</v>
      </c>
      <c r="AC77" s="12" t="s">
        <v>6</v>
      </c>
      <c r="AD77" s="12" t="s">
        <v>4</v>
      </c>
      <c r="AE77" s="12" t="s">
        <v>7</v>
      </c>
      <c r="AF77" s="12" t="s">
        <v>7</v>
      </c>
      <c r="AG77" s="12" t="s">
        <v>6</v>
      </c>
      <c r="AH77" s="12" t="s">
        <v>6</v>
      </c>
      <c r="AI77" s="12">
        <v>1</v>
      </c>
      <c r="AJ77" s="12">
        <v>9</v>
      </c>
      <c r="AK77" s="12" t="s">
        <v>23</v>
      </c>
      <c r="AL77" s="12" t="b">
        <v>1</v>
      </c>
    </row>
    <row r="78" spans="10:38" x14ac:dyDescent="0.45">
      <c r="J78" s="12" t="s">
        <v>8</v>
      </c>
      <c r="K78" s="12" t="s">
        <v>2</v>
      </c>
      <c r="L78" s="12" t="s">
        <v>9</v>
      </c>
      <c r="M78" s="12" t="s">
        <v>0</v>
      </c>
      <c r="N78" s="12" t="s">
        <v>11</v>
      </c>
      <c r="O78" s="12" t="s">
        <v>0</v>
      </c>
      <c r="P78" s="12" t="s">
        <v>0</v>
      </c>
      <c r="Q78" s="12" t="s">
        <v>7</v>
      </c>
      <c r="R78" s="12" t="s">
        <v>21</v>
      </c>
      <c r="S78" s="12" t="s">
        <v>6</v>
      </c>
      <c r="T78" s="12" t="s">
        <v>10</v>
      </c>
      <c r="U78" s="12" t="s">
        <v>17</v>
      </c>
      <c r="V78" s="12" t="s">
        <v>6</v>
      </c>
      <c r="W78" s="12" t="s">
        <v>7</v>
      </c>
      <c r="X78" s="12" t="s">
        <v>3</v>
      </c>
      <c r="Y78" s="12" t="s">
        <v>2</v>
      </c>
      <c r="Z78" s="12" t="s">
        <v>5</v>
      </c>
      <c r="AA78" s="12" t="s">
        <v>9</v>
      </c>
      <c r="AB78" s="12" t="s">
        <v>6</v>
      </c>
      <c r="AC78" s="12" t="s">
        <v>9</v>
      </c>
      <c r="AD78" s="12" t="s">
        <v>17</v>
      </c>
      <c r="AE78" s="12" t="s">
        <v>7</v>
      </c>
      <c r="AF78" s="12" t="s">
        <v>10</v>
      </c>
      <c r="AG78" s="12" t="s">
        <v>6</v>
      </c>
      <c r="AH78" s="12" t="s">
        <v>3</v>
      </c>
      <c r="AI78" s="12">
        <v>1</v>
      </c>
      <c r="AJ78" s="12">
        <v>9</v>
      </c>
      <c r="AK78" s="12" t="s">
        <v>21</v>
      </c>
      <c r="AL78" s="12" t="b">
        <v>1</v>
      </c>
    </row>
    <row r="79" spans="10:38" x14ac:dyDescent="0.45">
      <c r="J79" s="12" t="s">
        <v>17</v>
      </c>
      <c r="K79" s="12" t="s">
        <v>2</v>
      </c>
      <c r="L79" s="12" t="s">
        <v>9</v>
      </c>
      <c r="M79" s="12" t="s">
        <v>20</v>
      </c>
      <c r="N79" s="12" t="s">
        <v>9</v>
      </c>
      <c r="O79" s="12" t="s">
        <v>9</v>
      </c>
      <c r="P79" s="12" t="s">
        <v>15</v>
      </c>
      <c r="Q79" s="12" t="s">
        <v>0</v>
      </c>
      <c r="R79" s="12" t="s">
        <v>26</v>
      </c>
      <c r="S79" s="12" t="s">
        <v>6</v>
      </c>
      <c r="T79" s="12" t="s">
        <v>10</v>
      </c>
      <c r="U79" s="12" t="s">
        <v>22</v>
      </c>
      <c r="V79" s="12" t="s">
        <v>6</v>
      </c>
      <c r="W79" s="12" t="s">
        <v>5</v>
      </c>
      <c r="X79" s="12" t="s">
        <v>22</v>
      </c>
      <c r="Y79" s="12" t="s">
        <v>3</v>
      </c>
      <c r="Z79" s="12" t="s">
        <v>22</v>
      </c>
      <c r="AA79" s="12" t="s">
        <v>2</v>
      </c>
      <c r="AB79" s="12" t="s">
        <v>6</v>
      </c>
      <c r="AC79" s="12" t="s">
        <v>17</v>
      </c>
      <c r="AD79" s="12" t="s">
        <v>8</v>
      </c>
      <c r="AE79" s="12" t="s">
        <v>3</v>
      </c>
      <c r="AF79" s="12" t="s">
        <v>7</v>
      </c>
      <c r="AG79" s="12" t="s">
        <v>2</v>
      </c>
      <c r="AH79" s="12" t="s">
        <v>3</v>
      </c>
      <c r="AI79" s="12">
        <v>1</v>
      </c>
      <c r="AJ79" s="12">
        <v>9</v>
      </c>
      <c r="AK79" s="12" t="s">
        <v>26</v>
      </c>
      <c r="AL79" s="12" t="b">
        <v>1</v>
      </c>
    </row>
    <row r="80" spans="10:38" x14ac:dyDescent="0.45">
      <c r="J80" s="12" t="s">
        <v>17</v>
      </c>
      <c r="K80" s="12" t="s">
        <v>2</v>
      </c>
      <c r="L80" s="12" t="s">
        <v>9</v>
      </c>
      <c r="M80" s="12" t="s">
        <v>20</v>
      </c>
      <c r="N80" s="12" t="s">
        <v>2</v>
      </c>
      <c r="O80" s="12" t="s">
        <v>9</v>
      </c>
      <c r="P80" s="12" t="s">
        <v>11</v>
      </c>
      <c r="Q80" s="12" t="s">
        <v>20</v>
      </c>
      <c r="R80" s="12" t="s">
        <v>26</v>
      </c>
      <c r="S80" s="12" t="s">
        <v>9</v>
      </c>
      <c r="T80" s="12" t="s">
        <v>1</v>
      </c>
      <c r="U80" s="12" t="s">
        <v>9</v>
      </c>
      <c r="V80" s="12" t="s">
        <v>17</v>
      </c>
      <c r="W80" s="12" t="s">
        <v>22</v>
      </c>
      <c r="X80" s="12" t="s">
        <v>2</v>
      </c>
      <c r="Y80" s="12" t="s">
        <v>2</v>
      </c>
      <c r="Z80" s="12" t="s">
        <v>5</v>
      </c>
      <c r="AA80" s="12" t="s">
        <v>4</v>
      </c>
      <c r="AB80" s="12" t="s">
        <v>11</v>
      </c>
      <c r="AC80" s="12" t="s">
        <v>9</v>
      </c>
      <c r="AD80" s="12" t="s">
        <v>8</v>
      </c>
      <c r="AE80" s="12" t="s">
        <v>7</v>
      </c>
      <c r="AF80" s="12" t="s">
        <v>7</v>
      </c>
      <c r="AG80" s="12" t="s">
        <v>6</v>
      </c>
      <c r="AH80" s="12" t="s">
        <v>3</v>
      </c>
      <c r="AI80" s="12">
        <v>1</v>
      </c>
      <c r="AJ80" s="12">
        <v>9</v>
      </c>
      <c r="AK80" s="12" t="s">
        <v>26</v>
      </c>
      <c r="AL80" s="12" t="b">
        <v>1</v>
      </c>
    </row>
    <row r="81" spans="10:38" x14ac:dyDescent="0.45">
      <c r="J81" s="12" t="s">
        <v>20</v>
      </c>
      <c r="K81" s="12" t="s">
        <v>2</v>
      </c>
      <c r="L81" s="12" t="s">
        <v>9</v>
      </c>
      <c r="M81" s="12" t="s">
        <v>0</v>
      </c>
      <c r="N81" s="12" t="s">
        <v>9</v>
      </c>
      <c r="O81" s="12" t="s">
        <v>0</v>
      </c>
      <c r="P81" s="12" t="s">
        <v>11</v>
      </c>
      <c r="Q81" s="12" t="s">
        <v>17</v>
      </c>
      <c r="R81" s="12" t="s">
        <v>21</v>
      </c>
      <c r="S81" s="12" t="s">
        <v>6</v>
      </c>
      <c r="T81" s="12" t="s">
        <v>9</v>
      </c>
      <c r="U81" s="12" t="s">
        <v>6</v>
      </c>
      <c r="V81" s="12" t="s">
        <v>9</v>
      </c>
      <c r="W81" s="12" t="s">
        <v>7</v>
      </c>
      <c r="X81" s="12" t="s">
        <v>14</v>
      </c>
      <c r="Y81" s="12" t="s">
        <v>2</v>
      </c>
      <c r="Z81" s="12" t="s">
        <v>14</v>
      </c>
      <c r="AA81" s="12" t="s">
        <v>2</v>
      </c>
      <c r="AB81" s="12" t="s">
        <v>6</v>
      </c>
      <c r="AC81" s="12" t="s">
        <v>17</v>
      </c>
      <c r="AD81" s="12" t="s">
        <v>20</v>
      </c>
      <c r="AE81" s="12" t="s">
        <v>25</v>
      </c>
      <c r="AF81" s="12" t="s">
        <v>17</v>
      </c>
      <c r="AG81" s="12" t="s">
        <v>6</v>
      </c>
      <c r="AH81" s="12" t="s">
        <v>3</v>
      </c>
      <c r="AI81" s="12">
        <v>1</v>
      </c>
      <c r="AJ81" s="12">
        <v>9</v>
      </c>
      <c r="AK81" s="12" t="s">
        <v>21</v>
      </c>
      <c r="AL81" s="12" t="b">
        <v>1</v>
      </c>
    </row>
    <row r="82" spans="10:38" x14ac:dyDescent="0.45">
      <c r="J82" s="12" t="s">
        <v>7</v>
      </c>
      <c r="K82" s="12" t="s">
        <v>2</v>
      </c>
      <c r="L82" s="12" t="s">
        <v>11</v>
      </c>
      <c r="M82" s="12" t="s">
        <v>0</v>
      </c>
      <c r="N82" s="12" t="s">
        <v>15</v>
      </c>
      <c r="O82" s="12" t="s">
        <v>9</v>
      </c>
      <c r="P82" s="12" t="s">
        <v>15</v>
      </c>
      <c r="Q82" s="12" t="s">
        <v>4</v>
      </c>
      <c r="R82" s="12" t="s">
        <v>21</v>
      </c>
      <c r="S82" s="12" t="s">
        <v>1</v>
      </c>
      <c r="T82" s="12" t="s">
        <v>17</v>
      </c>
      <c r="U82" s="12" t="s">
        <v>1</v>
      </c>
      <c r="V82" s="12" t="s">
        <v>9</v>
      </c>
      <c r="W82" s="12" t="s">
        <v>22</v>
      </c>
      <c r="X82" s="12" t="s">
        <v>2</v>
      </c>
      <c r="Y82" s="12" t="s">
        <v>14</v>
      </c>
      <c r="Z82" s="12" t="s">
        <v>14</v>
      </c>
      <c r="AA82" s="12" t="s">
        <v>18</v>
      </c>
      <c r="AB82" s="12" t="s">
        <v>9</v>
      </c>
      <c r="AC82" s="12" t="s">
        <v>6</v>
      </c>
      <c r="AD82" s="12" t="s">
        <v>20</v>
      </c>
      <c r="AE82" s="12" t="s">
        <v>7</v>
      </c>
      <c r="AF82" s="12" t="s">
        <v>7</v>
      </c>
      <c r="AG82" s="12" t="s">
        <v>6</v>
      </c>
      <c r="AH82" s="12" t="s">
        <v>3</v>
      </c>
      <c r="AI82" s="12">
        <v>1</v>
      </c>
      <c r="AJ82" s="12">
        <v>9</v>
      </c>
      <c r="AK82" s="12" t="s">
        <v>21</v>
      </c>
      <c r="AL82" s="12" t="b">
        <v>1</v>
      </c>
    </row>
    <row r="83" spans="10:38" x14ac:dyDescent="0.45">
      <c r="J83" s="12" t="s">
        <v>7</v>
      </c>
      <c r="K83" s="12" t="s">
        <v>2</v>
      </c>
      <c r="L83" s="12" t="s">
        <v>9</v>
      </c>
      <c r="M83" s="12" t="s">
        <v>7</v>
      </c>
      <c r="N83" s="12" t="s">
        <v>2</v>
      </c>
      <c r="O83" s="12" t="s">
        <v>9</v>
      </c>
      <c r="P83" s="12" t="s">
        <v>0</v>
      </c>
      <c r="Q83" s="12" t="s">
        <v>17</v>
      </c>
      <c r="R83" s="12" t="s">
        <v>16</v>
      </c>
      <c r="S83" s="12" t="s">
        <v>1</v>
      </c>
      <c r="T83" s="12" t="s">
        <v>22</v>
      </c>
      <c r="U83" s="12" t="s">
        <v>17</v>
      </c>
      <c r="V83" s="12" t="s">
        <v>6</v>
      </c>
      <c r="W83" s="12" t="s">
        <v>3</v>
      </c>
      <c r="X83" s="12" t="s">
        <v>2</v>
      </c>
      <c r="Y83" s="12" t="s">
        <v>6</v>
      </c>
      <c r="Z83" s="12" t="s">
        <v>7</v>
      </c>
      <c r="AA83" s="12" t="s">
        <v>4</v>
      </c>
      <c r="AB83" s="12" t="s">
        <v>6</v>
      </c>
      <c r="AC83" s="12" t="s">
        <v>6</v>
      </c>
      <c r="AD83" s="12" t="s">
        <v>10</v>
      </c>
      <c r="AE83" s="12" t="s">
        <v>15</v>
      </c>
      <c r="AF83" s="12" t="s">
        <v>10</v>
      </c>
      <c r="AG83" s="12" t="s">
        <v>6</v>
      </c>
      <c r="AH83" s="12" t="s">
        <v>18</v>
      </c>
      <c r="AI83" s="12">
        <v>1</v>
      </c>
      <c r="AJ83" s="12">
        <v>9</v>
      </c>
      <c r="AK83" s="12" t="s">
        <v>16</v>
      </c>
      <c r="AL83" s="12" t="b">
        <v>1</v>
      </c>
    </row>
    <row r="84" spans="10:38" x14ac:dyDescent="0.45">
      <c r="J84" s="12" t="s">
        <v>7</v>
      </c>
      <c r="K84" s="12" t="s">
        <v>2</v>
      </c>
      <c r="L84" s="12" t="s">
        <v>9</v>
      </c>
      <c r="M84" s="12" t="s">
        <v>20</v>
      </c>
      <c r="N84" s="12" t="s">
        <v>9</v>
      </c>
      <c r="O84" s="12" t="s">
        <v>9</v>
      </c>
      <c r="P84" s="12" t="s">
        <v>11</v>
      </c>
      <c r="Q84" s="12" t="s">
        <v>17</v>
      </c>
      <c r="R84" s="12" t="s">
        <v>24</v>
      </c>
      <c r="S84" s="12" t="s">
        <v>4</v>
      </c>
      <c r="T84" s="12" t="s">
        <v>17</v>
      </c>
      <c r="U84" s="12" t="s">
        <v>22</v>
      </c>
      <c r="V84" s="12" t="s">
        <v>9</v>
      </c>
      <c r="W84" s="12" t="s">
        <v>14</v>
      </c>
      <c r="X84" s="12" t="s">
        <v>14</v>
      </c>
      <c r="Y84" s="12" t="s">
        <v>14</v>
      </c>
      <c r="Z84" s="12" t="s">
        <v>22</v>
      </c>
      <c r="AA84" s="12" t="s">
        <v>4</v>
      </c>
      <c r="AB84" s="12" t="s">
        <v>9</v>
      </c>
      <c r="AC84" s="12" t="s">
        <v>6</v>
      </c>
      <c r="AD84" s="12" t="s">
        <v>17</v>
      </c>
      <c r="AE84" s="12" t="s">
        <v>7</v>
      </c>
      <c r="AF84" s="12" t="s">
        <v>7</v>
      </c>
      <c r="AG84" s="12" t="s">
        <v>12</v>
      </c>
      <c r="AH84" s="12" t="s">
        <v>3</v>
      </c>
      <c r="AI84" s="12">
        <v>1</v>
      </c>
      <c r="AJ84" s="12">
        <v>9</v>
      </c>
      <c r="AK84" s="12" t="s">
        <v>24</v>
      </c>
      <c r="AL84" s="12" t="b">
        <v>1</v>
      </c>
    </row>
    <row r="85" spans="10:38" x14ac:dyDescent="0.45">
      <c r="J85" s="12" t="s">
        <v>7</v>
      </c>
      <c r="K85" s="12" t="s">
        <v>2</v>
      </c>
      <c r="L85" s="12" t="s">
        <v>0</v>
      </c>
      <c r="M85" s="12" t="s">
        <v>0</v>
      </c>
      <c r="N85" s="12" t="s">
        <v>2</v>
      </c>
      <c r="O85" s="12" t="s">
        <v>9</v>
      </c>
      <c r="P85" s="12" t="s">
        <v>15</v>
      </c>
      <c r="Q85" s="12" t="s">
        <v>17</v>
      </c>
      <c r="R85" s="12" t="s">
        <v>26</v>
      </c>
      <c r="S85" s="12" t="s">
        <v>4</v>
      </c>
      <c r="T85" s="12" t="s">
        <v>9</v>
      </c>
      <c r="U85" s="12" t="s">
        <v>9</v>
      </c>
      <c r="V85" s="12" t="s">
        <v>9</v>
      </c>
      <c r="W85" s="12" t="s">
        <v>7</v>
      </c>
      <c r="X85" s="12" t="s">
        <v>5</v>
      </c>
      <c r="Y85" s="12" t="s">
        <v>2</v>
      </c>
      <c r="Z85" s="12" t="s">
        <v>3</v>
      </c>
      <c r="AA85" s="12" t="s">
        <v>18</v>
      </c>
      <c r="AB85" s="12" t="s">
        <v>6</v>
      </c>
      <c r="AC85" s="12" t="s">
        <v>6</v>
      </c>
      <c r="AD85" s="12" t="s">
        <v>20</v>
      </c>
      <c r="AE85" s="12" t="s">
        <v>25</v>
      </c>
      <c r="AF85" s="12" t="s">
        <v>10</v>
      </c>
      <c r="AG85" s="12" t="s">
        <v>2</v>
      </c>
      <c r="AH85" s="12" t="s">
        <v>6</v>
      </c>
      <c r="AI85" s="12">
        <v>1</v>
      </c>
      <c r="AJ85" s="12">
        <v>9</v>
      </c>
      <c r="AK85" s="12" t="s">
        <v>26</v>
      </c>
      <c r="AL85" s="12" t="b">
        <v>1</v>
      </c>
    </row>
    <row r="86" spans="10:38" x14ac:dyDescent="0.45">
      <c r="J86" s="12" t="s">
        <v>4</v>
      </c>
      <c r="K86" s="12" t="s">
        <v>2</v>
      </c>
      <c r="L86" s="12" t="s">
        <v>9</v>
      </c>
      <c r="M86" s="12" t="s">
        <v>20</v>
      </c>
      <c r="N86" s="12" t="s">
        <v>2</v>
      </c>
      <c r="O86" s="12" t="s">
        <v>9</v>
      </c>
      <c r="P86" s="12" t="s">
        <v>15</v>
      </c>
      <c r="Q86" s="12" t="s">
        <v>7</v>
      </c>
      <c r="R86" s="12" t="s">
        <v>26</v>
      </c>
      <c r="S86" s="12" t="s">
        <v>1</v>
      </c>
      <c r="T86" s="12" t="s">
        <v>6</v>
      </c>
      <c r="U86" s="12" t="s">
        <v>6</v>
      </c>
      <c r="V86" s="12" t="s">
        <v>9</v>
      </c>
      <c r="W86" s="12" t="s">
        <v>2</v>
      </c>
      <c r="X86" s="12" t="s">
        <v>14</v>
      </c>
      <c r="Y86" s="12" t="s">
        <v>2</v>
      </c>
      <c r="Z86" s="12" t="s">
        <v>5</v>
      </c>
      <c r="AA86" s="12" t="s">
        <v>2</v>
      </c>
      <c r="AB86" s="12" t="s">
        <v>6</v>
      </c>
      <c r="AC86" s="12" t="s">
        <v>17</v>
      </c>
      <c r="AD86" s="12" t="s">
        <v>10</v>
      </c>
      <c r="AE86" s="12" t="s">
        <v>3</v>
      </c>
      <c r="AF86" s="12" t="s">
        <v>7</v>
      </c>
      <c r="AG86" s="12" t="s">
        <v>3</v>
      </c>
      <c r="AH86" s="12" t="s">
        <v>3</v>
      </c>
      <c r="AI86" s="12">
        <v>1</v>
      </c>
      <c r="AJ86" s="12">
        <v>9</v>
      </c>
      <c r="AK86" s="12" t="s">
        <v>26</v>
      </c>
      <c r="AL86" s="12" t="b">
        <v>1</v>
      </c>
    </row>
    <row r="87" spans="10:38" x14ac:dyDescent="0.45">
      <c r="J87" s="12" t="s">
        <v>17</v>
      </c>
      <c r="K87" s="12" t="s">
        <v>2</v>
      </c>
      <c r="L87" s="12" t="s">
        <v>11</v>
      </c>
      <c r="M87" s="12" t="s">
        <v>4</v>
      </c>
      <c r="N87" s="12" t="s">
        <v>2</v>
      </c>
      <c r="O87" s="12" t="s">
        <v>0</v>
      </c>
      <c r="P87" s="12" t="s">
        <v>9</v>
      </c>
      <c r="Q87" s="12" t="s">
        <v>4</v>
      </c>
      <c r="R87" s="12" t="s">
        <v>21</v>
      </c>
      <c r="S87" s="12" t="s">
        <v>1</v>
      </c>
      <c r="T87" s="12" t="s">
        <v>9</v>
      </c>
      <c r="U87" s="12" t="s">
        <v>1</v>
      </c>
      <c r="V87" s="12" t="s">
        <v>10</v>
      </c>
      <c r="W87" s="12" t="s">
        <v>3</v>
      </c>
      <c r="X87" s="12" t="s">
        <v>2</v>
      </c>
      <c r="Y87" s="12" t="s">
        <v>6</v>
      </c>
      <c r="Z87" s="12" t="s">
        <v>5</v>
      </c>
      <c r="AA87" s="12" t="s">
        <v>2</v>
      </c>
      <c r="AB87" s="12" t="s">
        <v>6</v>
      </c>
      <c r="AC87" s="12" t="s">
        <v>6</v>
      </c>
      <c r="AD87" s="12" t="s">
        <v>7</v>
      </c>
      <c r="AE87" s="12" t="s">
        <v>25</v>
      </c>
      <c r="AF87" s="12" t="s">
        <v>7</v>
      </c>
      <c r="AG87" s="12" t="s">
        <v>18</v>
      </c>
      <c r="AH87" s="12" t="s">
        <v>3</v>
      </c>
      <c r="AI87" s="12">
        <v>1</v>
      </c>
      <c r="AJ87" s="12">
        <v>9</v>
      </c>
      <c r="AK87" s="12" t="s">
        <v>21</v>
      </c>
      <c r="AL87" s="12" t="b">
        <v>1</v>
      </c>
    </row>
    <row r="88" spans="10:38" x14ac:dyDescent="0.45">
      <c r="J88" s="12" t="s">
        <v>17</v>
      </c>
      <c r="K88" s="12" t="s">
        <v>9</v>
      </c>
      <c r="L88" s="12" t="s">
        <v>0</v>
      </c>
      <c r="M88" s="12" t="s">
        <v>0</v>
      </c>
      <c r="N88" s="12" t="s">
        <v>9</v>
      </c>
      <c r="O88" s="12" t="s">
        <v>9</v>
      </c>
      <c r="P88" s="12" t="s">
        <v>15</v>
      </c>
      <c r="Q88" s="12" t="s">
        <v>17</v>
      </c>
      <c r="R88" s="12" t="s">
        <v>26</v>
      </c>
      <c r="S88" s="12" t="s">
        <v>4</v>
      </c>
      <c r="T88" s="12" t="s">
        <v>17</v>
      </c>
      <c r="U88" s="12" t="s">
        <v>6</v>
      </c>
      <c r="V88" s="12" t="s">
        <v>6</v>
      </c>
      <c r="W88" s="12" t="s">
        <v>22</v>
      </c>
      <c r="X88" s="12" t="s">
        <v>22</v>
      </c>
      <c r="Y88" s="12" t="s">
        <v>3</v>
      </c>
      <c r="Z88" s="12" t="s">
        <v>5</v>
      </c>
      <c r="AA88" s="12" t="s">
        <v>2</v>
      </c>
      <c r="AB88" s="12" t="s">
        <v>6</v>
      </c>
      <c r="AC88" s="12" t="s">
        <v>17</v>
      </c>
      <c r="AD88" s="12" t="s">
        <v>10</v>
      </c>
      <c r="AE88" s="12" t="s">
        <v>7</v>
      </c>
      <c r="AF88" s="12" t="s">
        <v>10</v>
      </c>
      <c r="AG88" s="12" t="s">
        <v>12</v>
      </c>
      <c r="AH88" s="12" t="s">
        <v>6</v>
      </c>
      <c r="AI88" s="12">
        <v>1</v>
      </c>
      <c r="AJ88" s="12">
        <v>9</v>
      </c>
      <c r="AK88" s="12" t="s">
        <v>26</v>
      </c>
      <c r="AL88" s="12" t="b">
        <v>1</v>
      </c>
    </row>
    <row r="89" spans="10:38" x14ac:dyDescent="0.45">
      <c r="J89" s="12" t="s">
        <v>7</v>
      </c>
      <c r="K89" s="12" t="s">
        <v>2</v>
      </c>
      <c r="L89" s="12" t="s">
        <v>9</v>
      </c>
      <c r="M89" s="12" t="s">
        <v>4</v>
      </c>
      <c r="N89" s="12" t="s">
        <v>9</v>
      </c>
      <c r="O89" s="12" t="s">
        <v>9</v>
      </c>
      <c r="P89" s="12" t="s">
        <v>18</v>
      </c>
      <c r="Q89" s="12" t="s">
        <v>17</v>
      </c>
      <c r="R89" s="12" t="s">
        <v>24</v>
      </c>
      <c r="S89" s="12" t="s">
        <v>1</v>
      </c>
      <c r="T89" s="12" t="s">
        <v>6</v>
      </c>
      <c r="U89" s="12" t="s">
        <v>17</v>
      </c>
      <c r="V89" s="12" t="s">
        <v>1</v>
      </c>
      <c r="W89" s="12" t="s">
        <v>3</v>
      </c>
      <c r="X89" s="12" t="s">
        <v>5</v>
      </c>
      <c r="Y89" s="12" t="s">
        <v>2</v>
      </c>
      <c r="Z89" s="12" t="s">
        <v>5</v>
      </c>
      <c r="AA89" s="12" t="s">
        <v>4</v>
      </c>
      <c r="AB89" s="12" t="s">
        <v>6</v>
      </c>
      <c r="AC89" s="12" t="s">
        <v>6</v>
      </c>
      <c r="AD89" s="12" t="s">
        <v>20</v>
      </c>
      <c r="AE89" s="12" t="s">
        <v>7</v>
      </c>
      <c r="AF89" s="12" t="s">
        <v>10</v>
      </c>
      <c r="AG89" s="12" t="s">
        <v>6</v>
      </c>
      <c r="AH89" s="12" t="s">
        <v>18</v>
      </c>
      <c r="AI89" s="12">
        <v>1</v>
      </c>
      <c r="AJ89" s="12">
        <v>9</v>
      </c>
      <c r="AK89" s="12" t="s">
        <v>24</v>
      </c>
      <c r="AL89" s="12" t="b">
        <v>1</v>
      </c>
    </row>
    <row r="90" spans="10:38" x14ac:dyDescent="0.45">
      <c r="J90" s="12" t="s">
        <v>8</v>
      </c>
      <c r="K90" s="12" t="s">
        <v>14</v>
      </c>
      <c r="L90" s="12" t="s">
        <v>9</v>
      </c>
      <c r="M90" s="12" t="s">
        <v>4</v>
      </c>
      <c r="N90" s="12" t="s">
        <v>9</v>
      </c>
      <c r="O90" s="12" t="s">
        <v>9</v>
      </c>
      <c r="P90" s="12" t="s">
        <v>11</v>
      </c>
      <c r="Q90" s="12" t="s">
        <v>0</v>
      </c>
      <c r="R90" s="12" t="s">
        <v>24</v>
      </c>
      <c r="S90" s="12" t="s">
        <v>6</v>
      </c>
      <c r="T90" s="12" t="s">
        <v>1</v>
      </c>
      <c r="U90" s="12" t="s">
        <v>6</v>
      </c>
      <c r="V90" s="12" t="s">
        <v>1</v>
      </c>
      <c r="W90" s="12" t="s">
        <v>3</v>
      </c>
      <c r="X90" s="12" t="s">
        <v>3</v>
      </c>
      <c r="Y90" s="12" t="s">
        <v>3</v>
      </c>
      <c r="Z90" s="12" t="s">
        <v>5</v>
      </c>
      <c r="AA90" s="12" t="s">
        <v>4</v>
      </c>
      <c r="AB90" s="12" t="s">
        <v>6</v>
      </c>
      <c r="AC90" s="12" t="s">
        <v>6</v>
      </c>
      <c r="AD90" s="12" t="s">
        <v>8</v>
      </c>
      <c r="AE90" s="12" t="s">
        <v>25</v>
      </c>
      <c r="AF90" s="12" t="s">
        <v>7</v>
      </c>
      <c r="AG90" s="12" t="s">
        <v>3</v>
      </c>
      <c r="AH90" s="12" t="s">
        <v>6</v>
      </c>
      <c r="AI90" s="12">
        <v>1</v>
      </c>
      <c r="AJ90" s="12">
        <v>9</v>
      </c>
      <c r="AK90" s="12" t="s">
        <v>24</v>
      </c>
      <c r="AL90" s="12" t="b">
        <v>1</v>
      </c>
    </row>
    <row r="91" spans="10:38" x14ac:dyDescent="0.45">
      <c r="J91" s="12" t="s">
        <v>20</v>
      </c>
      <c r="K91" s="12" t="s">
        <v>0</v>
      </c>
      <c r="L91" s="12" t="s">
        <v>9</v>
      </c>
      <c r="M91" s="12" t="s">
        <v>20</v>
      </c>
      <c r="N91" s="12" t="s">
        <v>0</v>
      </c>
      <c r="O91" s="12" t="s">
        <v>9</v>
      </c>
      <c r="P91" s="12" t="s">
        <v>15</v>
      </c>
      <c r="Q91" s="12" t="s">
        <v>4</v>
      </c>
      <c r="R91" s="12" t="s">
        <v>19</v>
      </c>
      <c r="S91" s="12" t="s">
        <v>2</v>
      </c>
      <c r="T91" s="12" t="s">
        <v>6</v>
      </c>
      <c r="U91" s="12" t="s">
        <v>22</v>
      </c>
      <c r="V91" s="12" t="s">
        <v>10</v>
      </c>
      <c r="W91" s="12" t="s">
        <v>14</v>
      </c>
      <c r="X91" s="12" t="s">
        <v>5</v>
      </c>
      <c r="Y91" s="12" t="s">
        <v>2</v>
      </c>
      <c r="Z91" s="12" t="s">
        <v>7</v>
      </c>
      <c r="AA91" s="12" t="s">
        <v>4</v>
      </c>
      <c r="AB91" s="12" t="s">
        <v>6</v>
      </c>
      <c r="AC91" s="12" t="s">
        <v>17</v>
      </c>
      <c r="AD91" s="12" t="s">
        <v>4</v>
      </c>
      <c r="AE91" s="12" t="s">
        <v>3</v>
      </c>
      <c r="AF91" s="12" t="s">
        <v>7</v>
      </c>
      <c r="AG91" s="12" t="s">
        <v>12</v>
      </c>
      <c r="AH91" s="12" t="s">
        <v>6</v>
      </c>
      <c r="AI91" s="12">
        <v>1</v>
      </c>
      <c r="AJ91" s="12">
        <v>9</v>
      </c>
      <c r="AK91" s="12" t="s">
        <v>19</v>
      </c>
      <c r="AL91" s="12" t="b">
        <v>1</v>
      </c>
    </row>
    <row r="92" spans="10:38" x14ac:dyDescent="0.45">
      <c r="J92" s="12" t="s">
        <v>0</v>
      </c>
      <c r="K92" s="12" t="s">
        <v>2</v>
      </c>
      <c r="L92" s="12" t="s">
        <v>9</v>
      </c>
      <c r="M92" s="12" t="s">
        <v>4</v>
      </c>
      <c r="N92" s="12" t="s">
        <v>9</v>
      </c>
      <c r="O92" s="12" t="s">
        <v>0</v>
      </c>
      <c r="P92" s="12" t="s">
        <v>9</v>
      </c>
      <c r="Q92" s="12" t="s">
        <v>0</v>
      </c>
      <c r="R92" s="12" t="s">
        <v>21</v>
      </c>
      <c r="S92" s="12" t="s">
        <v>4</v>
      </c>
      <c r="T92" s="12" t="s">
        <v>9</v>
      </c>
      <c r="U92" s="12" t="s">
        <v>6</v>
      </c>
      <c r="V92" s="12" t="s">
        <v>9</v>
      </c>
      <c r="W92" s="12" t="s">
        <v>2</v>
      </c>
      <c r="X92" s="12" t="s">
        <v>2</v>
      </c>
      <c r="Y92" s="12" t="s">
        <v>6</v>
      </c>
      <c r="Z92" s="12" t="s">
        <v>5</v>
      </c>
      <c r="AA92" s="12" t="s">
        <v>4</v>
      </c>
      <c r="AB92" s="12" t="s">
        <v>6</v>
      </c>
      <c r="AC92" s="12" t="s">
        <v>17</v>
      </c>
      <c r="AD92" s="12" t="s">
        <v>10</v>
      </c>
      <c r="AE92" s="12" t="s">
        <v>15</v>
      </c>
      <c r="AF92" s="12" t="s">
        <v>7</v>
      </c>
      <c r="AG92" s="12" t="s">
        <v>6</v>
      </c>
      <c r="AH92" s="12" t="s">
        <v>6</v>
      </c>
      <c r="AI92" s="12">
        <v>1</v>
      </c>
      <c r="AJ92" s="12">
        <v>9</v>
      </c>
      <c r="AK92" s="12" t="s">
        <v>21</v>
      </c>
      <c r="AL92" s="12" t="b">
        <v>1</v>
      </c>
    </row>
    <row r="93" spans="10:38" x14ac:dyDescent="0.45">
      <c r="J93" s="12" t="s">
        <v>7</v>
      </c>
      <c r="K93" s="12" t="s">
        <v>2</v>
      </c>
      <c r="L93" s="12" t="s">
        <v>9</v>
      </c>
      <c r="M93" s="12" t="s">
        <v>0</v>
      </c>
      <c r="N93" s="12" t="s">
        <v>15</v>
      </c>
      <c r="O93" s="12" t="s">
        <v>0</v>
      </c>
      <c r="P93" s="12" t="s">
        <v>9</v>
      </c>
      <c r="Q93" s="12" t="s">
        <v>0</v>
      </c>
      <c r="R93" s="12" t="s">
        <v>21</v>
      </c>
      <c r="S93" s="12" t="s">
        <v>6</v>
      </c>
      <c r="T93" s="12" t="s">
        <v>10</v>
      </c>
      <c r="U93" s="12" t="s">
        <v>22</v>
      </c>
      <c r="V93" s="12" t="s">
        <v>9</v>
      </c>
      <c r="W93" s="12" t="s">
        <v>3</v>
      </c>
      <c r="X93" s="12" t="s">
        <v>5</v>
      </c>
      <c r="Y93" s="12" t="s">
        <v>14</v>
      </c>
      <c r="Z93" s="12" t="s">
        <v>3</v>
      </c>
      <c r="AA93" s="12" t="s">
        <v>4</v>
      </c>
      <c r="AB93" s="12" t="s">
        <v>9</v>
      </c>
      <c r="AC93" s="12" t="s">
        <v>6</v>
      </c>
      <c r="AD93" s="12" t="s">
        <v>7</v>
      </c>
      <c r="AE93" s="12" t="s">
        <v>12</v>
      </c>
      <c r="AF93" s="12" t="s">
        <v>17</v>
      </c>
      <c r="AG93" s="12" t="s">
        <v>18</v>
      </c>
      <c r="AH93" s="12" t="s">
        <v>6</v>
      </c>
      <c r="AI93" s="12">
        <v>1</v>
      </c>
      <c r="AJ93" s="12">
        <v>9</v>
      </c>
      <c r="AK93" s="12" t="s">
        <v>21</v>
      </c>
      <c r="AL93" s="12" t="b">
        <v>1</v>
      </c>
    </row>
    <row r="94" spans="10:38" x14ac:dyDescent="0.45">
      <c r="J94" s="12" t="s">
        <v>7</v>
      </c>
      <c r="K94" s="12" t="s">
        <v>14</v>
      </c>
      <c r="L94" s="12" t="s">
        <v>11</v>
      </c>
      <c r="M94" s="12" t="s">
        <v>0</v>
      </c>
      <c r="N94" s="12" t="s">
        <v>9</v>
      </c>
      <c r="O94" s="12" t="s">
        <v>9</v>
      </c>
      <c r="P94" s="12" t="s">
        <v>9</v>
      </c>
      <c r="Q94" s="12" t="s">
        <v>7</v>
      </c>
      <c r="R94" s="12" t="s">
        <v>26</v>
      </c>
      <c r="S94" s="12" t="s">
        <v>9</v>
      </c>
      <c r="T94" s="12" t="s">
        <v>6</v>
      </c>
      <c r="U94" s="12" t="s">
        <v>17</v>
      </c>
      <c r="V94" s="12" t="s">
        <v>10</v>
      </c>
      <c r="W94" s="12" t="s">
        <v>5</v>
      </c>
      <c r="X94" s="12" t="s">
        <v>3</v>
      </c>
      <c r="Y94" s="12" t="s">
        <v>2</v>
      </c>
      <c r="Z94" s="12" t="s">
        <v>14</v>
      </c>
      <c r="AA94" s="12" t="s">
        <v>4</v>
      </c>
      <c r="AB94" s="12" t="s">
        <v>6</v>
      </c>
      <c r="AC94" s="12" t="s">
        <v>6</v>
      </c>
      <c r="AD94" s="12" t="s">
        <v>8</v>
      </c>
      <c r="AE94" s="12" t="s">
        <v>12</v>
      </c>
      <c r="AF94" s="12" t="s">
        <v>7</v>
      </c>
      <c r="AG94" s="12" t="s">
        <v>3</v>
      </c>
      <c r="AH94" s="12" t="s">
        <v>18</v>
      </c>
      <c r="AI94" s="12">
        <v>1</v>
      </c>
      <c r="AJ94" s="12">
        <v>9</v>
      </c>
      <c r="AK94" s="12" t="s">
        <v>26</v>
      </c>
      <c r="AL94" s="12" t="b">
        <v>1</v>
      </c>
    </row>
    <row r="95" spans="10:38" x14ac:dyDescent="0.45">
      <c r="J95" s="12" t="s">
        <v>7</v>
      </c>
      <c r="K95" s="12" t="s">
        <v>0</v>
      </c>
      <c r="L95" s="12" t="s">
        <v>9</v>
      </c>
      <c r="M95" s="12" t="s">
        <v>0</v>
      </c>
      <c r="N95" s="12" t="s">
        <v>11</v>
      </c>
      <c r="O95" s="12" t="s">
        <v>9</v>
      </c>
      <c r="P95" s="12" t="s">
        <v>9</v>
      </c>
      <c r="Q95" s="12" t="s">
        <v>0</v>
      </c>
      <c r="R95" s="12" t="s">
        <v>16</v>
      </c>
      <c r="S95" s="12" t="s">
        <v>9</v>
      </c>
      <c r="T95" s="12" t="s">
        <v>1</v>
      </c>
      <c r="U95" s="12" t="s">
        <v>22</v>
      </c>
      <c r="V95" s="12" t="s">
        <v>10</v>
      </c>
      <c r="W95" s="12" t="s">
        <v>3</v>
      </c>
      <c r="X95" s="12" t="s">
        <v>2</v>
      </c>
      <c r="Y95" s="12" t="s">
        <v>3</v>
      </c>
      <c r="Z95" s="12" t="s">
        <v>5</v>
      </c>
      <c r="AA95" s="12" t="s">
        <v>4</v>
      </c>
      <c r="AB95" s="12" t="s">
        <v>3</v>
      </c>
      <c r="AC95" s="12" t="s">
        <v>9</v>
      </c>
      <c r="AD95" s="12" t="s">
        <v>10</v>
      </c>
      <c r="AE95" s="12" t="s">
        <v>3</v>
      </c>
      <c r="AF95" s="12" t="s">
        <v>7</v>
      </c>
      <c r="AG95" s="12" t="s">
        <v>6</v>
      </c>
      <c r="AH95" s="12" t="s">
        <v>6</v>
      </c>
      <c r="AI95" s="12">
        <v>1</v>
      </c>
      <c r="AJ95" s="12">
        <v>9</v>
      </c>
      <c r="AK95" s="12" t="s">
        <v>16</v>
      </c>
      <c r="AL95" s="12" t="b">
        <v>1</v>
      </c>
    </row>
    <row r="96" spans="10:38" x14ac:dyDescent="0.45">
      <c r="J96" s="12" t="s">
        <v>17</v>
      </c>
      <c r="K96" s="12" t="s">
        <v>2</v>
      </c>
      <c r="L96" s="12" t="s">
        <v>9</v>
      </c>
      <c r="M96" s="12" t="s">
        <v>0</v>
      </c>
      <c r="N96" s="12" t="s">
        <v>2</v>
      </c>
      <c r="O96" s="12" t="s">
        <v>9</v>
      </c>
      <c r="P96" s="12" t="s">
        <v>9</v>
      </c>
      <c r="Q96" s="12" t="s">
        <v>7</v>
      </c>
      <c r="R96" s="12" t="s">
        <v>26</v>
      </c>
      <c r="S96" s="12" t="s">
        <v>1</v>
      </c>
      <c r="T96" s="12" t="s">
        <v>10</v>
      </c>
      <c r="U96" s="12" t="s">
        <v>22</v>
      </c>
      <c r="V96" s="12" t="s">
        <v>17</v>
      </c>
      <c r="W96" s="12" t="s">
        <v>22</v>
      </c>
      <c r="X96" s="12" t="s">
        <v>5</v>
      </c>
      <c r="Y96" s="12" t="s">
        <v>3</v>
      </c>
      <c r="Z96" s="12" t="s">
        <v>5</v>
      </c>
      <c r="AA96" s="12" t="s">
        <v>4</v>
      </c>
      <c r="AB96" s="12" t="s">
        <v>6</v>
      </c>
      <c r="AC96" s="12" t="s">
        <v>17</v>
      </c>
      <c r="AD96" s="12" t="s">
        <v>8</v>
      </c>
      <c r="AE96" s="12" t="s">
        <v>3</v>
      </c>
      <c r="AF96" s="12" t="s">
        <v>8</v>
      </c>
      <c r="AG96" s="12" t="s">
        <v>12</v>
      </c>
      <c r="AH96" s="12" t="s">
        <v>6</v>
      </c>
      <c r="AI96" s="12">
        <v>1</v>
      </c>
      <c r="AJ96" s="12">
        <v>9</v>
      </c>
      <c r="AK96" s="12" t="s">
        <v>26</v>
      </c>
      <c r="AL96" s="12" t="b">
        <v>1</v>
      </c>
    </row>
    <row r="97" spans="1:38" x14ac:dyDescent="0.45">
      <c r="J97" s="12" t="s">
        <v>0</v>
      </c>
      <c r="K97" s="12" t="s">
        <v>14</v>
      </c>
      <c r="L97" s="12" t="s">
        <v>0</v>
      </c>
      <c r="M97" s="12" t="s">
        <v>0</v>
      </c>
      <c r="N97" s="12" t="s">
        <v>9</v>
      </c>
      <c r="O97" s="12" t="s">
        <v>9</v>
      </c>
      <c r="P97" s="12" t="s">
        <v>0</v>
      </c>
      <c r="Q97" s="12" t="s">
        <v>17</v>
      </c>
      <c r="R97" s="12" t="s">
        <v>23</v>
      </c>
      <c r="S97" s="12" t="s">
        <v>2</v>
      </c>
      <c r="T97" s="12" t="s">
        <v>22</v>
      </c>
      <c r="U97" s="12" t="s">
        <v>1</v>
      </c>
      <c r="V97" s="12" t="s">
        <v>1</v>
      </c>
      <c r="W97" s="12" t="s">
        <v>2</v>
      </c>
      <c r="X97" s="12" t="s">
        <v>5</v>
      </c>
      <c r="Y97" s="12" t="s">
        <v>3</v>
      </c>
      <c r="Z97" s="12" t="s">
        <v>7</v>
      </c>
      <c r="AA97" s="12" t="s">
        <v>4</v>
      </c>
      <c r="AB97" s="12" t="s">
        <v>11</v>
      </c>
      <c r="AC97" s="12" t="s">
        <v>17</v>
      </c>
      <c r="AD97" s="12" t="s">
        <v>8</v>
      </c>
      <c r="AE97" s="12" t="s">
        <v>7</v>
      </c>
      <c r="AF97" s="12" t="s">
        <v>7</v>
      </c>
      <c r="AG97" s="12" t="s">
        <v>18</v>
      </c>
      <c r="AH97" s="12" t="s">
        <v>3</v>
      </c>
      <c r="AI97" s="12">
        <v>1</v>
      </c>
      <c r="AJ97" s="12">
        <v>9</v>
      </c>
      <c r="AK97" s="12" t="s">
        <v>23</v>
      </c>
      <c r="AL97" s="12" t="b">
        <v>1</v>
      </c>
    </row>
    <row r="98" spans="1:38" x14ac:dyDescent="0.45">
      <c r="J98" s="12" t="s">
        <v>0</v>
      </c>
      <c r="K98" s="12" t="s">
        <v>2</v>
      </c>
      <c r="L98" s="12" t="s">
        <v>0</v>
      </c>
      <c r="M98" s="12" t="s">
        <v>4</v>
      </c>
      <c r="N98" s="12" t="s">
        <v>0</v>
      </c>
      <c r="O98" s="12" t="s">
        <v>9</v>
      </c>
      <c r="P98" s="12" t="s">
        <v>15</v>
      </c>
      <c r="Q98" s="12" t="s">
        <v>7</v>
      </c>
      <c r="R98" s="12" t="s">
        <v>26</v>
      </c>
      <c r="S98" s="12" t="s">
        <v>2</v>
      </c>
      <c r="T98" s="12" t="s">
        <v>22</v>
      </c>
      <c r="U98" s="12" t="s">
        <v>22</v>
      </c>
      <c r="V98" s="12" t="s">
        <v>6</v>
      </c>
      <c r="W98" s="12" t="s">
        <v>3</v>
      </c>
      <c r="X98" s="12" t="s">
        <v>3</v>
      </c>
      <c r="Y98" s="12" t="s">
        <v>14</v>
      </c>
      <c r="Z98" s="12" t="s">
        <v>3</v>
      </c>
      <c r="AA98" s="12" t="s">
        <v>2</v>
      </c>
      <c r="AB98" s="12" t="s">
        <v>9</v>
      </c>
      <c r="AC98" s="12" t="s">
        <v>17</v>
      </c>
      <c r="AD98" s="12" t="s">
        <v>7</v>
      </c>
      <c r="AE98" s="12" t="s">
        <v>12</v>
      </c>
      <c r="AF98" s="12" t="s">
        <v>7</v>
      </c>
      <c r="AG98" s="12" t="s">
        <v>6</v>
      </c>
      <c r="AH98" s="12" t="s">
        <v>18</v>
      </c>
      <c r="AI98" s="12">
        <v>1</v>
      </c>
      <c r="AJ98" s="12">
        <v>9</v>
      </c>
      <c r="AK98" s="12" t="s">
        <v>26</v>
      </c>
      <c r="AL98" s="12" t="b">
        <v>1</v>
      </c>
    </row>
    <row r="99" spans="1:38" x14ac:dyDescent="0.45">
      <c r="J99" s="12" t="s">
        <v>8</v>
      </c>
      <c r="K99" s="12" t="s">
        <v>2</v>
      </c>
      <c r="L99" s="12" t="s">
        <v>9</v>
      </c>
      <c r="M99" s="12" t="s">
        <v>20</v>
      </c>
      <c r="N99" s="12" t="s">
        <v>0</v>
      </c>
      <c r="O99" s="12" t="s">
        <v>9</v>
      </c>
      <c r="P99" s="12" t="s">
        <v>18</v>
      </c>
      <c r="Q99" s="12" t="s">
        <v>0</v>
      </c>
      <c r="R99" s="12" t="s">
        <v>19</v>
      </c>
      <c r="S99" s="12" t="s">
        <v>2</v>
      </c>
      <c r="T99" s="12" t="s">
        <v>6</v>
      </c>
      <c r="U99" s="12" t="s">
        <v>17</v>
      </c>
      <c r="V99" s="12" t="s">
        <v>10</v>
      </c>
      <c r="W99" s="12" t="s">
        <v>5</v>
      </c>
      <c r="X99" s="12" t="s">
        <v>3</v>
      </c>
      <c r="Y99" s="12" t="s">
        <v>6</v>
      </c>
      <c r="Z99" s="12" t="s">
        <v>22</v>
      </c>
      <c r="AA99" s="12" t="s">
        <v>9</v>
      </c>
      <c r="AB99" s="12" t="s">
        <v>6</v>
      </c>
      <c r="AC99" s="12" t="s">
        <v>17</v>
      </c>
      <c r="AD99" s="12" t="s">
        <v>4</v>
      </c>
      <c r="AE99" s="12" t="s">
        <v>3</v>
      </c>
      <c r="AF99" s="12" t="s">
        <v>17</v>
      </c>
      <c r="AG99" s="12" t="s">
        <v>2</v>
      </c>
      <c r="AH99" s="12" t="s">
        <v>3</v>
      </c>
      <c r="AI99" s="12">
        <v>1</v>
      </c>
      <c r="AJ99" s="12">
        <v>9</v>
      </c>
      <c r="AK99" s="12" t="s">
        <v>19</v>
      </c>
      <c r="AL99" s="12" t="b">
        <v>1</v>
      </c>
    </row>
    <row r="100" spans="1:38" x14ac:dyDescent="0.45">
      <c r="J100" s="12" t="s">
        <v>7</v>
      </c>
      <c r="K100" s="12" t="s">
        <v>2</v>
      </c>
      <c r="L100" s="12" t="s">
        <v>9</v>
      </c>
      <c r="M100" s="12" t="s">
        <v>4</v>
      </c>
      <c r="N100" s="12" t="s">
        <v>9</v>
      </c>
      <c r="O100" s="12" t="s">
        <v>9</v>
      </c>
      <c r="P100" s="12" t="s">
        <v>9</v>
      </c>
      <c r="Q100" s="12" t="s">
        <v>4</v>
      </c>
      <c r="R100" s="12" t="s">
        <v>24</v>
      </c>
      <c r="S100" s="12" t="s">
        <v>2</v>
      </c>
      <c r="T100" s="12" t="s">
        <v>6</v>
      </c>
      <c r="U100" s="12" t="s">
        <v>9</v>
      </c>
      <c r="V100" s="12" t="s">
        <v>17</v>
      </c>
      <c r="W100" s="12" t="s">
        <v>7</v>
      </c>
      <c r="X100" s="12" t="s">
        <v>3</v>
      </c>
      <c r="Y100" s="12" t="s">
        <v>2</v>
      </c>
      <c r="Z100" s="12" t="s">
        <v>3</v>
      </c>
      <c r="AA100" s="12" t="s">
        <v>4</v>
      </c>
      <c r="AB100" s="12" t="s">
        <v>6</v>
      </c>
      <c r="AC100" s="12" t="s">
        <v>17</v>
      </c>
      <c r="AD100" s="12" t="s">
        <v>10</v>
      </c>
      <c r="AE100" s="12" t="s">
        <v>3</v>
      </c>
      <c r="AF100" s="12" t="s">
        <v>8</v>
      </c>
      <c r="AG100" s="12" t="s">
        <v>3</v>
      </c>
      <c r="AH100" s="12" t="s">
        <v>3</v>
      </c>
      <c r="AI100" s="12">
        <v>1</v>
      </c>
      <c r="AJ100" s="12">
        <v>9</v>
      </c>
      <c r="AK100" s="12" t="s">
        <v>24</v>
      </c>
      <c r="AL100" s="12" t="b">
        <v>1</v>
      </c>
    </row>
    <row r="101" spans="1:38" x14ac:dyDescent="0.45">
      <c r="A101" s="12" t="s">
        <v>31</v>
      </c>
      <c r="B101" s="12" t="s">
        <v>32</v>
      </c>
      <c r="J101" s="12" t="s">
        <v>17</v>
      </c>
      <c r="K101" s="12" t="s">
        <v>2</v>
      </c>
      <c r="L101" s="12" t="s">
        <v>9</v>
      </c>
      <c r="M101" s="12" t="s">
        <v>0</v>
      </c>
      <c r="N101" s="12" t="s">
        <v>2</v>
      </c>
      <c r="O101" s="12" t="s">
        <v>0</v>
      </c>
      <c r="P101" s="12" t="s">
        <v>18</v>
      </c>
      <c r="Q101" s="12" t="s">
        <v>0</v>
      </c>
      <c r="R101" s="12" t="s">
        <v>21</v>
      </c>
      <c r="S101" s="12" t="s">
        <v>2</v>
      </c>
      <c r="T101" s="12" t="s">
        <v>6</v>
      </c>
      <c r="U101" s="12" t="s">
        <v>22</v>
      </c>
      <c r="V101" s="12" t="s">
        <v>10</v>
      </c>
      <c r="W101" s="12" t="s">
        <v>7</v>
      </c>
      <c r="X101" s="12" t="s">
        <v>7</v>
      </c>
      <c r="Y101" s="12" t="s">
        <v>2</v>
      </c>
      <c r="Z101" s="12" t="s">
        <v>22</v>
      </c>
      <c r="AA101" s="12" t="s">
        <v>4</v>
      </c>
      <c r="AB101" s="12" t="s">
        <v>9</v>
      </c>
      <c r="AC101" s="12" t="s">
        <v>6</v>
      </c>
      <c r="AD101" s="12" t="s">
        <v>8</v>
      </c>
      <c r="AE101" s="12" t="s">
        <v>3</v>
      </c>
      <c r="AF101" s="12" t="s">
        <v>7</v>
      </c>
      <c r="AG101" s="12" t="s">
        <v>3</v>
      </c>
      <c r="AH101" s="12" t="s">
        <v>6</v>
      </c>
      <c r="AI101" s="12">
        <v>1</v>
      </c>
      <c r="AJ101" s="12">
        <v>9</v>
      </c>
      <c r="AK101" s="12" t="s">
        <v>21</v>
      </c>
      <c r="AL101" s="12" t="b">
        <v>1</v>
      </c>
    </row>
    <row r="102" spans="1:38" x14ac:dyDescent="0.45">
      <c r="A102" s="12" t="s">
        <v>27</v>
      </c>
      <c r="B102" s="12">
        <v>2</v>
      </c>
      <c r="C102" s="12">
        <v>0</v>
      </c>
    </row>
    <row r="103" spans="1:38" x14ac:dyDescent="0.45">
      <c r="B103" s="12" t="s">
        <v>28</v>
      </c>
    </row>
    <row r="105" spans="1:38" x14ac:dyDescent="0.45">
      <c r="A105" s="12">
        <v>2</v>
      </c>
    </row>
    <row r="106" spans="1:38" x14ac:dyDescent="0.45">
      <c r="A106" s="23" t="s">
        <v>30</v>
      </c>
    </row>
  </sheetData>
  <mergeCells count="1">
    <mergeCell ref="C3:F3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roperties xmlns="http://schemas.myeducator.com/properties/myeducator/atlas_meta_I8hwnVfAZFgc">H4sIAAAAAAAAA71XbW/bNhD+K4Q+pYBjOwG6FUbbIV6Tvq1Ai21Fl6UwztLJYk2RHknZNYL89z1H2Y7aoq7XDgkQ2ySP9/Lcc+TxOqMQ9MzWbGM2so0xvax2RWM4G11vfk1sU0/ZZ6NsKH8nD7Je5jEfstHf15kusHB2ibmaQ6AZNmZ/WpoaVtEpXpJpKLIiu1Zvx2cqdwX3lXpFc1ah8azWrlEVLRkrttQzTBUqVtiw80uVzqe9M0+FtjPoEhGKsrddYbvU3rXSOijr8GXV2DPNVS0W4Z6lWnx7Rbl3SRV7EVoYyhnLIfKijahsbB61sxBeTmlSywYILMhTHQQW8rNGTIn4ae/0PUIXmcnGAplFRaKxYo6TVcWeWyUTHcSB9XnR5BSdn7zaIHZz0/vPZof/v9m84nw+8RwaAyNd07mrMdAhiT3C0j9xnY1OYCx3CzHOHymPZo0VSbjMJNNIcZ4zF1zA2PsbuBwpzLvEObvNzLTRplA7f74kWRK+ZdlZGZFC5G8tpDgZDtUMikJPFbpIFAjMiUoV+eLYcBTxvJmyOhq/ePnm3eU9yT9oZJhCVKen2FiW7MGhhQtanAgd4jyDFtXVUrslB0XeNbYQtJxOuTkZCpkoNoJ6iuMWhFFJJnAvKzGcUj6HxG7nby7Ednc7PidvZctQsrQBYHwYALuYnOU0BwhQMivkQxfw2ZXfwCVUbpUqLSbBICqirrt1ZF1rrS3e2nnBmmwyKYpVjk+QAgfHPmy+jsQXQJx0kfj1e5HYkQMhplNJIPkmIp3AyZhu5LQn2tMfifa0E+2Tw6K9yl5cZcryEsu0WDDhMO14/mE3+Qnxt9B0PH/wA44/6Ph9fqjfL/f5/fLO/b441O/xPr/Hd+7300P9vtzn9+Wd+/3sUL/f7fP73Z37/fxQv9/s8/vNHfkt1y9/xFr2lzROchVLtxTlWqgbI22aHIK46eP2QExHZuq1AhvOY0iz7QkZ2oWVxoGYTlPp00jN9JKtSrdiXz3hSNqkwEL0TbrZ5c7EubnEQmoTKY7Uw6lXg8ebT4Jrfsbx0VU2mRqyc4BXeS4xrmJchNFgQNFQ6Ndr3vQ0fXQoA7RNg6mbzdCyds31q1ibq+zxd+99OKDH3SQA2orNYtsvo2FaQJQvnBcUt9OF0/H2t2UZba7/Ja4ct137WBth00Yw4RW2QyD6O0kv3g4X3pXPOpbR2upyvR191nRwbHaC+zuMn4cdaoz1TI0TEMINUiuHK7HQaPTA3nVLCOf1TFtchGsFlwAjEjxdq9fk52D42DuQBPQ4euqc6LnKplDaoqtSU4eEClk20QrZkl4pnXt99Tx15ete4loTpE8PMMQBzS8srXSs4JjHM8DVZn0MB1lq5774cB+tPW54aJT7OxwfM+VVu0XqqUSzv+1u+uoPYbgjs6mCUuNhQUHV0hZI3AghNNMP4L0s7+ohhXBPJNEnBi0clrqFgEfHWWvboJI2BXAB/L8kv7NG25b5wkqQcrVa9SsKU+8SHfFfOzvYbhwgK21S+q+fXCiUr8rRa0mDSyqxSSKWGrxNnUAIVFChHRN4MUXgkmysKObVL8tHNl6+nb84P/PnCRJsbTXihyRJwvY8A7P9VvvRyU/dThhYwLScbr30nOs83TY6OqQ6Or3/6V45CKOOhj8h3+cMznEm2uYrzO9WZnsy78r1NVt5M3bOwz1VsH374g1EBbQDe05vHDyl5OG6tZceMZgxhhZB9l5nw01x32xXQSaNp5gs3tz8C/EJIH9nDwAA</properties>
</file>

<file path=customXml/item2.xml><?xml version="1.0" encoding="utf-8"?>
<properties xmlns="http://schemas.myeducator.com/properties/symphony/AuthContext">H4sIAAAAAAAAA01Xx7bjOLL8l7se1aEVydmRovfebXTovRE9Oaf/faiq6fd6iUwgACQikZH/+VmGJuvnn3//56fL3r8HP//+yU4RyHyy0ipRckGjkl9iGXPJd2w5lwCqlUj8uieNgW9UWs2AGq2gGk0i6mWsKl3MQuciyUt4KraDqDQJqZcAqy8E0F57Ffn3qB6qiDeBhFee8knUMZSukW9ustc2yQsFkxOEQ18FZFtYAw8ss45YAz+95E7dYov4h1/Mwz6lbG7pUqiEhWqvEtitvvhhrVya7TYhbSzKxRxKBQAhneyyJ0BhZywhx5Yq55aB51ZBp/xZC6n7d61ll4NVm6fDiE7muurXl/pqm3RoGXvONxCixpW1yRGqc7GB5g3fIPWRH7ZxS3zP3H5xXL6dQ1/4+rrbNsZ8m8cdu4SW8BSaskw5dQh9E/jih/c9I2//YgOZd9x7/fErsAkYXLoEXjv/ub9wx/dYklN4xr07x3dMA1i8YzquqXfM915nAimV1qFgzO2z0LtXUn33awD3MmGTFym7dhelunF66rzxnsqNEcLi9+6HWiuIygO/eL/H2JBQEKcDZlhmD5mfjUCesSUnZXG7NgLac4HdwHZ/h5ab71SB8nVLt0WMN5e5ViO1v3ddcQVWPE/2CfssdJXDKJJlvVL+YggSL9NBEMOPdpJiJW5jlo/2CV2irbNBoXm9RhENKzyw8dSIyk5SywKcgUVYGAYgZ5KBVnQDiaLutYdzPQTM7FR5aOpE4cIOKTK9BhyT9v1jfsS+3jpv7wSyJVSo5qG3JyfDMFlhJpXSHH8JB+MQLu/NqPYma8UdDjHNXvWMNEgm9sBMLW6tj7n0CY1XCihWF/NRZgKhtOQZOg/GINCtNWC9XrV+F/tIasJ79MYhxcHlYZP6UEvs05Ckz7QMqybRupG1ScDr+W5aib4XbYGVdaatoW5LdiJ71Sgh6ZtC3k8pA4pxJ9YoqY5MdQP9qUI4gC60VbzrY6T8rDk+LBESvN2I2oVp0jLXUy/zPuOm5sk//eIMX3Qfz2tccMo6XBagSVzXb4nTHhJXLb5NI2oBRxgXgRuxX2IlNpPmhMzh5hCjCKLLAwMN0OznU6AawL6IVdoE4cMGa3LgD1eR3mUPkY/AmtacoQr5CRKYkfULPGHMGMUM28tcUQkyW/iA6zapjUwMIWSE7irDU9Srou8ZeZd1qI0e+2scIFxaR7qWNQRXi9EtnW6JGBWkI3tOsaHhTcIRC8mhjWwwoJopjJ9//UxZPmVz+c8vrE755p9fWBt3yndMKbUDmYD6O6sD7+i/meq0KiU7BGW6ZJUbv1RXpQ5CYDXEbJCZuPaGlsDkIfJRQwNM2vmWlZLk1QPr9dYWDWH1LGGnvIVORQeyMcO6tLreeZ5KCwUEtsck/Lqh1FV2E0RP1GzxUWyy/keUXR04ATfw4quhOJpD6hVK4pSxp+0+KjdlsL3Xejkz8e7CHsNBo+cQH5dPV+ZD11TXNkxk5PkzWsk0yY8cTACvIdlOcgkYZIvkqrJD+KTcpz7PdeDiswPb+lDspa9FaKvM5mMB5STKKMbqW4S8DeyBWeRG6gFpEHdOhRJ7zg5dYJWaa4seujqLkIeH09ElPTO0r99bnXZm+Gjl3T1dZBKU6Ah7mFO7IOHfIuys+wmaSH9iHfmLWsEzQY7n8zMY1lQGvzSyPh1brZzXOaq13koS//n4Ej8UtOhjbRuyM/2YyWlO1sIr9AQ3Jqg+4MJMGMjcB6TyaS6GOe15sJiNnDk86c4UfyKT23BkpU3ccFesIVKcuRom4ENkTkj6Q5+vhKmCN2KAAGHeGUUYLLnKNgV1gRm9BuEtJkNHGJXiWe346bvAmdQcjhI8sFytOJA+lN32daWC49LJQLFRNHw+4tVxdfbSGfwNqp5V1khRKuzxMqq9cGg2WTdAz7sRJy485984gHMmrCRlJQNao5DcaOws7+2cgL4yZQ8cHmmCzGB5ury8clIe0nnO5D6+n/xhJJ+97T5J7cAXbdBDxfFVK8Rq08jxqDjpE1cyY5gsqwgFhFa8i1i9fafLg8KerzXQ6w7uzZJVC8eGHN+FoGzZnQBCPiyOzZ+GEvskkoFqiwyE0YTj9DDcFY5YkPxmKi4iYYpdEJSYedrPSCTyWVxo3Tcb8CYlCF0UrGLB5EX887FpkC0mx2mdlDgICoOBJPnQ196/RIKvFqDjQ49DXRAXpQS01hcZflgSrxoUuiJdeg0XbuFTgzUbKQ5jPOzdeUCRC5Zn+zmYbVQ2rwhDPccs8RrpkyD3qzKyZpyQGDCO50wePoexzyfMPjoG9ZcJ9SnYz1ld+IzykFCH3SqP1/NtdkTqyC9tHkx5blP5aZtPHnkDMARm3E6SdvpKobG7gmmlsCrFMQk3YKS1Sj7pWVSaOdNTEO7NR2dnjh+NYcQpmaOs7PAqRNbO7VAZrhQYgVTxBVx7rpjnJ15yI8ZixOQMNUsN0VShBIHMZh0jzevVEzNCB4GEN5yRr5ZWkqTRatKSIKr2qHF2hItyHCv7sK2hg22Ri0QINQgsFy7PQ8NWGgau3UWnnprHC5+cT9tcT8keFgE6L11BvLTXCqhHN8a4HiuJe0xOP+ooUmmmI2rLAZqWVQcECA1O0sPuatCmE1VYYl3m5mncsGueqOJqM09sbmQmP5ypKg/fb3M9PHWb0I/mYWzKGCBr9BoRlK8a/yGxEL1h4OOoaGuao7sCWMZoLIfpVVUn1bivUb466RofvHZXYuLVElMLejx36U6QdZu9ViIZznz7crYvdoAC4psfrnoEzTgHQx54SEdvPFtaqsjX/TNA5wECj2JDXqBxXWummcU6nxjFwvnTMURlk0k0cmAVPDA1OvXggdXTTksRbgvyhDYxTt+SYeTOBM1qR+WaD5irr0JRAl8GyPdxzcX2OVZkKnUQb2H86RyuYLK5N/ZRykbA88HZU6dNaUyAntF+ssqasEdNihPBBB0sSpH4MEUNeCSkfVGnByfk/EsUV8CONHxjgDqpETZxNpLd7/o2L9G0/F3d+rVt/zZlx1hN0VIN/7P/9a+fz5pN51fSR+N4l8JonrN57u6CfOPEa9Wmt7GvinJpzy/y2Y3l0J9/iubfOl/4p85vAt8sb32JCZ0IRt7RfCtm3LX9reHn7KtHexWNfWqIIRT1IQK8desWe26ecsQUesgXsM2ccQiatI4cYrSa1s2a5rC7VtIs9LfPs1Ur4cwlpqnWhY7J8sYtclXHa9XaBccw9I7daV0vukwx8tPRswVU8dTV7o7SBdnRhlrJatAp49o6vnGCmhJVN+Vdr1UMYDiCS/Qyj/VvQD1yRslu7g6BM3anb03XNo6gvXG90JR790g8/EwaV1Ht5khrV9D88ZPwI694o+zSJm127GHzFG+CqZzC4iB749PzlK/KuDIP3COOWDOX2FLfvHsbsPVh94zvfkjoSiDlqUur8C3wqV3uQDT0TDCAWCCG714HIhYZ/v9YyjC1JbCZf3ua2GuvBGq3+H6Ue5/7HYzffYjaikfYlk+vZU3PLr5nABPIPf/PzyZACpin4SBgbAtfdYPu7/wkX8nijNahDutpH2hdgJ8YcM/wbTJKIscxVSqbhtwEWasvYYSn+cn9KzSMAL+NWzRV0c2om15LG81fHiXDmL3/zMVLEZl0yj4d5fb8Zu17Ocfs9lFZNGXTb8X2m8DZd8Eyrdlt+t/iiiHpmVB21v/566//Al1fXlKjDgAA</properties>
</file>

<file path=customXml/item3.xml><?xml version="1.0" encoding="utf-8"?>
<properties xmlns="http://schemas.myeducator.com/properties/myeducator/atlas_log_common">H4sIAAAAAAAAA+1W2U4jRxT9FdTPgGpfeANjFmPwghdMFFm1thvaC3Y7phnx77ltMzMZlEgoQYqUTD91bfeeOnXu8iXJ52ly9MuXxCVHeD8JyVFyOcuKvePVKktn0zArkv2kgDWuqJJYYkyo3E98cjRb5/l+MoEDESMnuaEkaGSFN177EAPnTmmmdOTWBIkFoxRpohB2yev+H/2drLPc7w3ny0c7nz++dycUeudOaUet4dJ5ZTyO0QdlOcxFFLgNGGGvo40ksugJ89a/c9dfeFOEvfZyvli9c0apFltnX5KndVgV2XxW/We+YkVNNrNBPL4/Sx0cW//ZpFsGMO23FolWCK6PtmyZwlSGinJRIQjhwBS5qby7+ayoOD5KYLCYZ7NilRxtb5zFmLl1XpTJUTVcL80ODgxc9o2PxfffdGn81nrZmNhzl7Wyxsn1Q5/cYpc1a43cTq+/zXVQ47TZn/RuevXycoYO9eC4zh+e2vmwg8j1RjXmdHMf5m13RsreWLbQ+HpaH/XZoNaY0uVLf3h69XhzYYarq1ZzHe4CLe+m7JSxAzssr8X55ji/SzfjZppe3Tp3dkAOm9G0u63WyPY6teZds1bLs+5v6WH3bjpwrPfYWo4Hl0I+nLf8ebtzGPpieNq/aKzFWTp7uW2OhpIKfcC02xA9OPCTrLZev9TuLqYMaFvNzKJiN929SUqQIIoQjggXCCH8jKtn3lG/5Z3A+MmawlVquhTdpzjCijT6aWUsuB3PCcgmWbxtgoXp3K/zygSqPqwqDSzyualc9pbrkLzCfvM9at5eZXdsDMLw8JIFbAQfbr4MYzevnqva9brTtVFSah44USJywaWIWlGQsvbGcSV1EB6iiDGiI40S4a+61jtd98zqca82z3OzWIUfha2BPvkm7AK2Zf55K6Tqf2am1Wm7DcK4nu2uXylzZwkORZOvwhtIQpCUNmipBIsWeapQUM5TLz3VHoKfWkYldRYuQwWJHwapkMIc/X2QFbVfMToeEZJWGswQN0JbrwTFNDjsATt3XCiLHMJaSkhZ4qMYKZFSYP05RDKEHOca0mLgkEBJRAxIMJC+NDOgX0hFVMC0kQw4Jh9+bcqQohx/CpFKQQZngRnQoXBOBKap8A5xGZmlxDHmCCxi64yIPpKPY8QAUX0OkUIRibSnhnrmLI8AhiDPGMcMK28l405aK4LlioWI2cdAaoSExpLyTyHSaqAneINDlNQCKggXrpRH3gtGKItQLpEj3oA6rbX0QyVLI5ANgVz3s2T9LFn/TskCBSrFCKc28ggJV2mCtIbU7xTkIS8lZtEpBSUtIiUVeafrXafpfTb7QdWYS8S/qvof4VNBBBqgFJiIpKIxCmxIdNRggwmjLjIKmQtFjnmgXrzvTP8y7jDUAc7+l3GHcdpTj1cv5eV1U3cGXZFedca41esPzf34trO8MZ14dboc1Ym5E+PReTl5WPRC56EXs0a9QOti2Skn9ZtOWTyfDgnXGzVSk5Nhd1LyCzVqpIdtU9Z7k8tO/USPF/GpmzXbxdPx4fPdVS2VG1Sj/XLWOjNnYzl4Pj60J+2n1W3ZR7S1GcW0KPv1ey9VKlmzn18PW0N8r8NNd6Ht8X8o7jwFw1pGrDDFzEAfIQmOkrPAoZ8RUQjjQoQOx1EEaQh9JO6gAYNGEaPPiDtoDzi0sIiDc6MxicoYbCmkC20oF8xCp1j1XoY5xJiA5ubX198Br6xAI4sOAAA=</properties>
</file>

<file path=customXml/itemProps1.xml><?xml version="1.0" encoding="utf-8"?>
<ds:datastoreItem xmlns:ds="http://schemas.openxmlformats.org/officeDocument/2006/customXml" ds:itemID="{A066183A-5494-4416-983E-649F1E77DED4}">
  <ds:schemaRefs>
    <ds:schemaRef ds:uri="http://schemas.myeducator.com/properties/myeducator/atlas_meta_I8hwnVfAZFgc"/>
  </ds:schemaRefs>
</ds:datastoreItem>
</file>

<file path=customXml/itemProps2.xml><?xml version="1.0" encoding="utf-8"?>
<ds:datastoreItem xmlns:ds="http://schemas.openxmlformats.org/officeDocument/2006/customXml" ds:itemID="{76DD337B-5E23-493C-9BD9-A9550D1EC42D}">
  <ds:schemaRefs>
    <ds:schemaRef ds:uri="http://schemas.myeducator.com/properties/symphony/AuthContext"/>
  </ds:schemaRefs>
</ds:datastoreItem>
</file>

<file path=customXml/itemProps3.xml><?xml version="1.0" encoding="utf-8"?>
<ds:datastoreItem xmlns:ds="http://schemas.openxmlformats.org/officeDocument/2006/customXml" ds:itemID="{ABD0695D-55E2-4E99-B8CE-EF834397DBE2}">
  <ds:schemaRefs>
    <ds:schemaRef ds:uri="http://schemas.myeducator.com/properties/myeducator/atlas_log_comm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Boggle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Hatchett</dc:creator>
  <cp:lastModifiedBy>Tyler Hatchett</cp:lastModifiedBy>
  <dcterms:created xsi:type="dcterms:W3CDTF">2020-03-10T20:21:35Z</dcterms:created>
  <dcterms:modified xsi:type="dcterms:W3CDTF">2020-03-12T04:42:39Z</dcterms:modified>
</cp:coreProperties>
</file>